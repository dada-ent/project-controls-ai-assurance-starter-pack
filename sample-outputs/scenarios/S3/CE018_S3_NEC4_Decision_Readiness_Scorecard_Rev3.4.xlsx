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Dashboard" sheetId="1" state="visible" r:id="rId3"/>
    <sheet name="Evidence Register" sheetId="2" state="visible" r:id="rId4"/>
    <sheet name="Cross-Record Reconciliation" sheetId="3" state="visible" r:id="rId5"/>
    <sheet name="Four-Test Scorecard" sheetId="4" state="visible" r:id="rId6"/>
    <sheet name="NEC4 Control Cross-Reference" sheetId="5" state="visible" r:id="rId7"/>
    <sheet name="Clause 64.1 Triggers" sheetId="6" state="visible" r:id="rId8"/>
    <sheet name="Exceptions and Actions" sheetId="7" state="visible" r:id="rId9"/>
    <sheet name="Decision and Audit Log" sheetId="8" state="visible" r:id="rId10"/>
    <sheet name="Source Citations" sheetId="9" state="visible" r:id="rId11"/>
  </sheets>
  <definedNames>
    <definedName function="false" hidden="true" localSheetId="5" name="_xlnm._FilterDatabase" vbProcedure="false">'Clause 64.1 Triggers'!$A$4:$E$4</definedName>
    <definedName function="false" hidden="true" localSheetId="7" name="_xlnm._FilterDatabase" vbProcedure="false">'Decision and Audit Log'!$A$4:$H$4</definedName>
    <definedName function="false" hidden="true" localSheetId="1" name="_xlnm._FilterDatabase" vbProcedure="false">'Evidence Register'!$A$4:$H$4</definedName>
    <definedName function="false" hidden="true" localSheetId="6" name="_xlnm._FilterDatabase" vbProcedure="false">'Exceptions and Actions'!$A$5:$J$5</definedName>
    <definedName function="false" hidden="false" localSheetId="0" name="_xlnm.Print_Area" vbProcedure="false">'Executive Dashboard'!$A$1:$H$44</definedName>
    <definedName function="false" hidden="true" localSheetId="3" name="_xlnm._FilterDatabase" vbProcedure="false">'Four-Test Scorecard'!$A$4:$I$4</definedName>
    <definedName function="false" hidden="true" localSheetId="4" name="_xlnm._FilterDatabase" vbProcedure="false">'NEC4 Control Cross-Reference'!$A$4:$K$4</definedName>
    <definedName function="false" hidden="true" localSheetId="8" name="_xlnm._FilterDatabase" vbProcedure="false">'Source Citations'!$A$4:$F$4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<sst xmlns="http://schemas.openxmlformats.org/spreadsheetml/2006/main" count="1168" uniqueCount="762">
  <si>
    <t xml:space="preserve">CE-018 PROJECT CONTROLS ASSURANCE SCORECARD — NEC4 DECISION READINESS</t>
  </si>
  <si>
    <t xml:space="preserve">Scenario S3 — Conflicting commercial and risk records  |  Report CE018-S3-DR-REV3.4  Rev 3.4  |  ISSUED FOR PROJECT MANAGER REVIEW (IFR) — NOT APPROVED</t>
  </si>
  <si>
    <t xml:space="preserve">Fictional Demonstration Data — not a contractual assessment or communication.</t>
  </si>
  <si>
    <t xml:space="preserve">PROJECT AND EVENT METADATA</t>
  </si>
  <si>
    <t xml:space="preserve">Project</t>
  </si>
  <si>
    <t xml:space="preserve">Westbridge Station Access and Enabling Works</t>
  </si>
  <si>
    <t xml:space="preserve">Project ID</t>
  </si>
  <si>
    <t xml:space="preserve">WSAE</t>
  </si>
  <si>
    <t xml:space="preserve">Client</t>
  </si>
  <si>
    <t xml:space="preserve">Westbridge Transit Authority</t>
  </si>
  <si>
    <t xml:space="preserve">Contractor</t>
  </si>
  <si>
    <t xml:space="preserve">Northstar Civil Engineering Ltd</t>
  </si>
  <si>
    <t xml:space="preserve">Interface organisation</t>
  </si>
  <si>
    <t xml:space="preserve">CityRail Operations</t>
  </si>
  <si>
    <t xml:space="preserve">Contract scenario</t>
  </si>
  <si>
    <t xml:space="preserve">NEC4 ECC demonstration</t>
  </si>
  <si>
    <t xml:space="preserve">Event</t>
  </si>
  <si>
    <t xml:space="preserve">CE-018 — Restricted access to the Platform 4 worksite</t>
  </si>
  <si>
    <t xml:space="preserve">Related early warning</t>
  </si>
  <si>
    <t xml:space="preserve">EW-006 — separate earlier warning concerning the same access issue</t>
  </si>
  <si>
    <t xml:space="preserve">Assessment data cut-off</t>
  </si>
  <si>
    <t xml:space="preserve">2026-03-31</t>
  </si>
  <si>
    <t xml:space="preserve">Source Register revision</t>
  </si>
  <si>
    <t xml:space="preserve">3.0</t>
  </si>
  <si>
    <t xml:space="preserve">Decision owner</t>
  </si>
  <si>
    <t xml:space="preserve">Elena Brooks — NEC4 Project Manager</t>
  </si>
  <si>
    <t xml:space="preserve">Control owner</t>
  </si>
  <si>
    <t xml:space="preserve">Sofia Khan — Project Controls Lead</t>
  </si>
  <si>
    <t xml:space="preserve">Prepared by</t>
  </si>
  <si>
    <t xml:space="preserve">CE-018 Project Controls Assurance Assistant (configured AI support)</t>
  </si>
  <si>
    <t xml:space="preserve">Classification</t>
  </si>
  <si>
    <t xml:space="preserve">Fictional Demonstration Data</t>
  </si>
  <si>
    <t xml:space="preserve">FOUR-TEST TILES  (scores linked to the Four-Test Scorecard worksheet)</t>
  </si>
  <si>
    <t xml:space="preserve">T1 — Evidence and version</t>
  </si>
  <si>
    <t xml:space="preserve">T2 — Records agree</t>
  </si>
  <si>
    <t xml:space="preserve">T3 — Route and clock</t>
  </si>
  <si>
    <t xml:space="preserve">T4 — Human authority</t>
  </si>
  <si>
    <t xml:space="preserve">CONTROL COUNTERS AND ROUTE  (formula-driven)</t>
  </si>
  <si>
    <t xml:space="preserve">Total four-test score (max 8)</t>
  </si>
  <si>
    <t xml:space="preserve">RECOMMENDED DECISION-READINESS ROUTE</t>
  </si>
  <si>
    <t xml:space="preserve">Critical TEST failures (tests scoring 0)</t>
  </si>
  <si>
    <t xml:space="preserve">Critical assurance EXCEPTIONS</t>
  </si>
  <si>
    <t xml:space="preserve">Total assurance exceptions</t>
  </si>
  <si>
    <t xml:space="preserve">NEC4 controls run</t>
  </si>
  <si>
    <t xml:space="preserve">Route priority: reserved-authority failure (T4=0) &gt; material record conflict (T2=0) &gt; mandatory evidence missing (T1=0) &gt; critical route/clock failure (T3=0) &gt; any score of 1 &gt; all pass. A score of 0 overrides the total score.</t>
  </si>
  <si>
    <t xml:space="preserve">Clause 64.1 trigger checks reported</t>
  </si>
  <si>
    <t xml:space="preserve">Clause 64.1 trigger indications</t>
  </si>
  <si>
    <t xml:space="preserve">Registered evidence records reviewed</t>
  </si>
  <si>
    <t xml:space="preserve">EVIDENCED POSITIONS, DECISION OWNERSHIP AND NEXT ACTION</t>
  </si>
  <si>
    <t xml:space="preserve">Schedule effect — conflicting positions</t>
  </si>
  <si>
    <t xml:space="preserve">8 working days (FCST-P07-X) | 10 working days (QUOT-CE018-REVB, CHG-018, CASE-001, UP13 recorded field) | 12 working days (RISK-044-X; also the UP13 date-derived value)</t>
  </si>
  <si>
    <t xml:space="preserve">Commercial exposure — conflicting positions</t>
  </si>
  <si>
    <t xml:space="preserve">GBP 150,000 (FCST-P07-X) | GBP 185,000 (QUOT-CE018-REVB, CHG-018, CASE-001) | GBP 210,000 (RISK-044-X)</t>
  </si>
  <si>
    <t xml:space="preserve">Conflict range</t>
  </si>
  <si>
    <t xml:space="preserve">Cost GBP 60,000 (32.4% of the quoted sum). Time 4 working days. No value averaged, repaired or preferred.</t>
  </si>
  <si>
    <t xml:space="preserve">Four-Test Result</t>
  </si>
  <si>
    <t xml:space="preserve">CRITICAL FAILURE — T2 = 0</t>
  </si>
  <si>
    <t xml:space="preserve">Configured NEC4 Process-Assurance Result</t>
  </si>
  <si>
    <t xml:space="preserve">CONFIGURED NEC4 PROCESS CONTROL FAILURE — STOP / RECONCILE</t>
  </si>
  <si>
    <t xml:space="preserve">Clause 64.1 Trigger Summary</t>
  </si>
  <si>
    <t xml:space="preserve">Trigger 1 NOT_TRIGGERED; Trigger 2 PROJECT MANAGER JUDGEMENT; Trigger 3 PROJECT MANAGER JUDGEMENT; Trigger 4 PROJECT MANAGER JUDGEMENT</t>
  </si>
  <si>
    <t xml:space="preserve">Pending decision</t>
  </si>
  <si>
    <t xml:space="preserve">Project Manager response to Quotation Rev B under Clause 62.3 / 62.6, and determination of the Clause 64.1 trigger-2 indication.</t>
  </si>
  <si>
    <t xml:space="preserve">Next assurance action</t>
  </si>
  <si>
    <t xml:space="preserve">Close E-01, E-02, E-04, E-05, E-06 and E-08 through actions A-01 to A-06 with the named record owners, then rerun T1, T2 and T3.</t>
  </si>
  <si>
    <t xml:space="preserve">Next action due</t>
  </si>
  <si>
    <t xml:space="preserve">2026-04-08 — assurance action target, not a contractual deadline</t>
  </si>
  <si>
    <t xml:space="preserve">Configured contractual response date</t>
  </si>
  <si>
    <t xml:space="preserve">2026-04-11 — RC-03, Clause 62.3 / 62.6, Elena Brooks. Not overdue at the 2026-03-31 cut-off.</t>
  </si>
  <si>
    <t xml:space="preserve">Retained human authority</t>
  </si>
  <si>
    <t xml:space="preserve">Elena Brooks, NEC4 Project Manager, retains every contractual decision on CE-018.</t>
  </si>
  <si>
    <t xml:space="preserve">Revision note</t>
  </si>
  <si>
    <t xml:space="preserve">Rev 3.4 is a controlled cross-output wording correction of Rev 3.3. No assessment was rerun and no evidence was re-examined. Two Excel summary cells retained a stale Rev 3.0 next-action sentence that omitted exception E-08 and actions A-01 to A-06. The next-action wording is now held once and used by Word, Excel and JSON alike. No score, control result, trigger, exception, action, owner, date, route or authority statement was changed. Rev 3.4 supersedes Rev 3.3, which superseded Rev 3.2, Rev 3.1 and Rev 3.0.</t>
  </si>
  <si>
    <t xml:space="preserve">EVIDENCE REGISTER — REGISTERED RECORDS REVIEWED</t>
  </si>
  <si>
    <t xml:space="preserve">Controlled by Source_Register.csv / SRC-001 Rev 3.0. Branding assets are formatting only and are excluded from this register.</t>
  </si>
  <si>
    <t xml:space="preserve">Required / status</t>
  </si>
  <si>
    <t xml:space="preserve">File name</t>
  </si>
  <si>
    <t xml:space="preserve">Record ID</t>
  </si>
  <si>
    <t xml:space="preserve">Record type</t>
  </si>
  <si>
    <t xml:space="preserve">Revision / version status</t>
  </si>
  <si>
    <t xml:space="preserve">Evidence owner</t>
  </si>
  <si>
    <t xml:space="preserve">Intended use</t>
  </si>
  <si>
    <t xml:space="preserve">Citation locator</t>
  </si>
  <si>
    <t xml:space="preserve">PERMANENT PROJECT CONTEXT (11 records)</t>
  </si>
  <si>
    <t xml:space="preserve">Yes</t>
  </si>
  <si>
    <t xml:space="preserve">Source_Register.csv</t>
  </si>
  <si>
    <t xml:space="preserve">SRC-001</t>
  </si>
  <si>
    <t xml:space="preserve">Source register</t>
  </si>
  <si>
    <t xml:space="preserve">3.0 / Current</t>
  </si>
  <si>
    <t xml:space="preserve">Project Controls Lead</t>
  </si>
  <si>
    <t xml:space="preserve">Controls approved Context and scenario evidence</t>
  </si>
  <si>
    <t xml:space="preserve">SRC-001 row; all rows</t>
  </si>
  <si>
    <t xml:space="preserve">CE018_Control_Brief.txt</t>
  </si>
  <si>
    <t xml:space="preserve">CTRL-001</t>
  </si>
  <si>
    <t xml:space="preserve">Control brief</t>
  </si>
  <si>
    <t xml:space="preserve">Permitted task, method, prohibited actions</t>
  </si>
  <si>
    <t xml:space="preserve">Rev 3.0 header; Permitted/Prohibited sections</t>
  </si>
  <si>
    <t xml:space="preserve">Actor_Authority_Matrix.csv</t>
  </si>
  <si>
    <t xml:space="preserve">CTRL-002</t>
  </si>
  <si>
    <t xml:space="preserve">Authority matrix</t>
  </si>
  <si>
    <t xml:space="preserve">2.1 / Current</t>
  </si>
  <si>
    <t xml:space="preserve">Named actors and retained authority</t>
  </si>
  <si>
    <t xml:space="preserve">Rows TG, MR, SK, EB, AM, AI</t>
  </si>
  <si>
    <t xml:space="preserve">Route_Clock_Rules.csv</t>
  </si>
  <si>
    <t xml:space="preserve">CTRL-003</t>
  </si>
  <si>
    <t xml:space="preserve">Route and clock rules</t>
  </si>
  <si>
    <t xml:space="preserve">NEC4 Project Manager</t>
  </si>
  <si>
    <t xml:space="preserve">Configured clause periods and due dates</t>
  </si>
  <si>
    <t xml:space="preserve">Rows RC-EW, RC-00, RC-01, RC-02, RC-03</t>
  </si>
  <si>
    <t xml:space="preserve">Four_Test_Checklist.csv</t>
  </si>
  <si>
    <t xml:space="preserve">CTRL-005</t>
  </si>
  <si>
    <t xml:space="preserve">Assurance checklist</t>
  </si>
  <si>
    <t xml:space="preserve">Four tests, scoring and dependencies</t>
  </si>
  <si>
    <t xml:space="preserve">Rows T1-T4</t>
  </si>
  <si>
    <t xml:space="preserve">Expected_Response_Structure.txt</t>
  </si>
  <si>
    <t xml:space="preserve">CTRL-006</t>
  </si>
  <si>
    <t xml:space="preserve">Response structure</t>
  </si>
  <si>
    <t xml:space="preserve">Required report, scorecard and JSON structure</t>
  </si>
  <si>
    <t xml:space="preserve">Rev 3.0 sections 1-11</t>
  </si>
  <si>
    <t xml:space="preserve">NEC4_Decision_Readiness_Control_Matrix.csv</t>
  </si>
  <si>
    <t xml:space="preserve">CTRL-007</t>
  </si>
  <si>
    <t xml:space="preserve">NEC4 control matrix</t>
  </si>
  <si>
    <t xml:space="preserve">1.0 / Current</t>
  </si>
  <si>
    <t xml:space="preserve">Configured procedural controls and Clause 64.1 triggers</t>
  </si>
  <si>
    <t xml:space="preserve">Rows NEC-01 to NEC-12</t>
  </si>
  <si>
    <t xml:space="preserve">WBS_Hierarchy.csv</t>
  </si>
  <si>
    <t xml:space="preserve">WBS-001</t>
  </si>
  <si>
    <t xml:space="preserve">WBS</t>
  </si>
  <si>
    <t xml:space="preserve">Planning Manager</t>
  </si>
  <si>
    <t xml:space="preserve">Work-package hierarchy</t>
  </si>
  <si>
    <t xml:space="preserve">Rows WSAE, WSAE.10, WSAE.20.10, WSAE.30.10, WSAE.30.20</t>
  </si>
  <si>
    <t xml:space="preserve">CBS_Hierarchy.csv</t>
  </si>
  <si>
    <t xml:space="preserve">CBS-001</t>
  </si>
  <si>
    <t xml:space="preserve">CBS</t>
  </si>
  <si>
    <t xml:space="preserve">Cost Manager</t>
  </si>
  <si>
    <t xml:space="preserve">Cost hierarchy</t>
  </si>
  <si>
    <t xml:space="preserve">Rows WSAE-C210, C310, C320, C510, C610</t>
  </si>
  <si>
    <t xml:space="preserve">CE018_WBS_Programme_CBS_Crosswalk.csv</t>
  </si>
  <si>
    <t xml:space="preserve">XWALK-001</t>
  </si>
  <si>
    <t xml:space="preserve">Crosswalk</t>
  </si>
  <si>
    <t xml:space="preserve">Links CE-018 to WBS, activities and CBS</t>
  </si>
  <si>
    <t xml:space="preserve">All 5 rows</t>
  </si>
  <si>
    <t xml:space="preserve">CE018_Event_Record.csv</t>
  </si>
  <si>
    <t xml:space="preserve">CASE-001</t>
  </si>
  <si>
    <t xml:space="preserve">Event record</t>
  </si>
  <si>
    <t xml:space="preserve">1.1 / Current</t>
  </si>
  <si>
    <t xml:space="preserve">Controlled CE-018 facts and cut-off</t>
  </si>
  <si>
    <t xml:space="preserve">Single data row</t>
  </si>
  <si>
    <t xml:space="preserve">SCENARIO S3 EVIDENCE (12 records attached)</t>
  </si>
  <si>
    <t xml:space="preserve">Email_01_Access_Risk_2026-02-24.eml</t>
  </si>
  <si>
    <t xml:space="preserve">CORR-001</t>
  </si>
  <si>
    <t xml:space="preserve">Email</t>
  </si>
  <si>
    <t xml:space="preserve">Theo Grant</t>
  </si>
  <si>
    <t xml:space="preserve">Emerging operational access constraint</t>
  </si>
  <si>
    <t xml:space="preserve">Date 2026-02-24; Message-ID corr-001</t>
  </si>
  <si>
    <t xml:space="preserve">Email_02_EW006_2026-02-25.eml</t>
  </si>
  <si>
    <t xml:space="preserve">EW-006</t>
  </si>
  <si>
    <t xml:space="preserve">Early warning email</t>
  </si>
  <si>
    <t xml:space="preserve">Marcus Reed</t>
  </si>
  <si>
    <t xml:space="preserve">Separate early-warning record on the same access issue</t>
  </si>
  <si>
    <t xml:space="preserve">Date 2026-02-25; Message-ID ew-006</t>
  </si>
  <si>
    <t xml:space="preserve">Email_03_Access_Restriction_2026-03-04.eml</t>
  </si>
  <si>
    <t xml:space="preserve">ACC-004</t>
  </si>
  <si>
    <t xml:space="preserve">Access confirmation</t>
  </si>
  <si>
    <t xml:space="preserve">Planned versus actual access</t>
  </si>
  <si>
    <t xml:space="preserve">Date 2026-03-04; Message-ID acc-004</t>
  </si>
  <si>
    <t xml:space="preserve">Email_04_CE018_Notification_2026-03-05.eml</t>
  </si>
  <si>
    <t xml:space="preserve">CE-018</t>
  </si>
  <si>
    <t xml:space="preserve">CE notification email</t>
  </si>
  <si>
    <t xml:space="preserve">Contractor notification of restricted access</t>
  </si>
  <si>
    <t xml:space="preserve">Date 2026-03-05; Message-ID ce-018</t>
  </si>
  <si>
    <t xml:space="preserve">Email_05_PM_Response_2026-03-12.eml</t>
  </si>
  <si>
    <t xml:space="preserve">PMR-018</t>
  </si>
  <si>
    <t xml:space="preserve">Project Manager response</t>
  </si>
  <si>
    <t xml:space="preserve">Elena Brooks</t>
  </si>
  <si>
    <t xml:space="preserve">PM response and quotation request</t>
  </si>
  <si>
    <t xml:space="preserve">Date 2026-03-12; Message-ID pmr-018</t>
  </si>
  <si>
    <t xml:space="preserve">Email_06_Quotation_Submission_2026-03-28.eml</t>
  </si>
  <si>
    <t xml:space="preserve">QSUB-018</t>
  </si>
  <si>
    <t xml:space="preserve">Quotation submission email</t>
  </si>
  <si>
    <t xml:space="preserve">Submission route and accompanying-record references</t>
  </si>
  <si>
    <t xml:space="preserve">Date 2026-03-28; Message-ID qsub-018</t>
  </si>
  <si>
    <t xml:space="preserve">P6_Activity_Export_AP12.csv</t>
  </si>
  <si>
    <t xml:space="preserve">PROG-AP12</t>
  </si>
  <si>
    <t xml:space="preserve">Accepted Programme export</t>
  </si>
  <si>
    <t xml:space="preserve">AP12 / Accepted</t>
  </si>
  <si>
    <t xml:space="preserve">What was planned at the event date</t>
  </si>
  <si>
    <t xml:space="preserve">Data date 2026-02-20; rows A1100-M9000</t>
  </si>
  <si>
    <t xml:space="preserve">P6_Activity_Export_UP13.csv</t>
  </si>
  <si>
    <t xml:space="preserve">PROG-UP13</t>
  </si>
  <si>
    <t xml:space="preserve">Current programme update</t>
  </si>
  <si>
    <t xml:space="preserve">UP13 / Current controlled update</t>
  </si>
  <si>
    <t xml:space="preserve">Actual access and current forecast</t>
  </si>
  <si>
    <t xml:space="preserve">Data date 2026-03-20; rows A1100-M9000</t>
  </si>
  <si>
    <t xml:space="preserve">CE018_Quotation_RevB.csv</t>
  </si>
  <si>
    <t xml:space="preserve">QUOT-CE018-REVB</t>
  </si>
  <si>
    <t xml:space="preserve">Quotation</t>
  </si>
  <si>
    <t xml:space="preserve">B / Current</t>
  </si>
  <si>
    <t xml:space="preserve">Commercial Manager</t>
  </si>
  <si>
    <t xml:space="preserve">Quotation assessment details by WBS, activity and CBS</t>
  </si>
  <si>
    <t xml:space="preserve">5 rows; submitted 2026-03-28</t>
  </si>
  <si>
    <t xml:space="preserve">Cost_Forecast_P07_CONFLICT.csv</t>
  </si>
  <si>
    <t xml:space="preserve">FCST-P07-X</t>
  </si>
  <si>
    <t xml:space="preserve">Scenario forecast (S3 replacement)</t>
  </si>
  <si>
    <t xml:space="preserve">P07-X / Current - demonstration conflict</t>
  </si>
  <si>
    <t xml:space="preserve">S3 replacement forecast conflicting with quotation</t>
  </si>
  <si>
    <t xml:space="preserve">5 rows; data date 2026-03-31</t>
  </si>
  <si>
    <t xml:space="preserve">Risk_Register_CONFLICT.csv</t>
  </si>
  <si>
    <t xml:space="preserve">RISK-044-X</t>
  </si>
  <si>
    <t xml:space="preserve">Scenario risk register (S3 replacement)</t>
  </si>
  <si>
    <t xml:space="preserve">7-X / Current - demonstration conflict</t>
  </si>
  <si>
    <t xml:space="preserve">Risk Manager</t>
  </si>
  <si>
    <t xml:space="preserve">S3 replacement risk record conflicting with quotation and forecast</t>
  </si>
  <si>
    <t xml:space="preserve">Single row RISK-044-X</t>
  </si>
  <si>
    <t xml:space="preserve">Change_Register.csv</t>
  </si>
  <si>
    <t xml:space="preserve">CHG-018</t>
  </si>
  <si>
    <t xml:space="preserve">Change register</t>
  </si>
  <si>
    <t xml:space="preserve">5 / Current</t>
  </si>
  <si>
    <t xml:space="preserve">Change Manager</t>
  </si>
  <si>
    <t xml:space="preserve">Status, owner, next action and expected effect</t>
  </si>
  <si>
    <t xml:space="preserve">Single row CHG-018</t>
  </si>
  <si>
    <t xml:space="preserve">CORRECTLY EXCLUDED BASE RECORDS (replaced in S3)</t>
  </si>
  <si>
    <t xml:space="preserve">Correctly excluded</t>
  </si>
  <si>
    <t xml:space="preserve">Cost_Forecast_P07.csv</t>
  </si>
  <si>
    <t xml:space="preserve">FCST-P07</t>
  </si>
  <si>
    <t xml:space="preserve">Cost forecast</t>
  </si>
  <si>
    <t xml:space="preserve">P07</t>
  </si>
  <si>
    <t xml:space="preserve">Base forecast — registered to S1/S2/S4 only; replaced in S3 by FCST-P07-X</t>
  </si>
  <si>
    <t xml:space="preserve">SRC-001 row FCST-P07</t>
  </si>
  <si>
    <t xml:space="preserve">Risk_Register.csv</t>
  </si>
  <si>
    <t xml:space="preserve">RISK-044</t>
  </si>
  <si>
    <t xml:space="preserve">Risk register</t>
  </si>
  <si>
    <t xml:space="preserve">7</t>
  </si>
  <si>
    <t xml:space="preserve">Base risk record — registered to S1/S2/S4 only; replaced in S3 by RISK-044-X</t>
  </si>
  <si>
    <t xml:space="preserve">SRC-001 row RISK-044</t>
  </si>
  <si>
    <t xml:space="preserve">Non-evidence formatting assets present in the workspace and deliberately excluded from this register: Westbridge_Transit_Authority.png; CE018_Assurance_Assistant.png; Northstar_Civil_Engineering.png; CityRail_Operations.png; Fictional_Demonstration_Data_Badge.png.</t>
  </si>
  <si>
    <t xml:space="preserve">CROSS-RECORD RECONCILIATION — AP12, UP13, QUOTATION, FORECAST, RISK AND CHANGE</t>
  </si>
  <si>
    <t xml:space="preserve">Every position is shown separately. No value has been averaged, repaired or preferred by the assistant.</t>
  </si>
  <si>
    <t xml:space="preserve">A. PROGRAMME — ACCEPTED PROGRAMME AP12 AGAINST CURRENT UPDATE UP13</t>
  </si>
  <si>
    <t xml:space="preserve">Activity ID</t>
  </si>
  <si>
    <t xml:space="preserve">WBS ID</t>
  </si>
  <si>
    <t xml:space="preserve">Activity name</t>
  </si>
  <si>
    <t xml:space="preserve">AP12 start / finish</t>
  </si>
  <si>
    <t xml:space="preserve">AP12 duration (d) / float (d)</t>
  </si>
  <si>
    <t xml:space="preserve">UP13 start / finish</t>
  </si>
  <si>
    <t xml:space="preserve">UP13 duration (d) / float (d)</t>
  </si>
  <si>
    <t xml:space="preserve">UP13 recorded variance (working days)</t>
  </si>
  <si>
    <t xml:space="preserve">UP13 status</t>
  </si>
  <si>
    <t xml:space="preserve">WSAE-A1150</t>
  </si>
  <si>
    <t xml:space="preserve">WSAE.20.10</t>
  </si>
  <si>
    <t xml:space="preserve">Confirm Platform 4 access window</t>
  </si>
  <si>
    <t xml:space="preserve">2026-02-27 / 2026-02-27</t>
  </si>
  <si>
    <t xml:space="preserve">1 / 0</t>
  </si>
  <si>
    <t xml:space="preserve">2026-02-25 / 2026-02-25</t>
  </si>
  <si>
    <t xml:space="preserve">Complete</t>
  </si>
  <si>
    <t xml:space="preserve">WSAE-A1200</t>
  </si>
  <si>
    <t xml:space="preserve">Establish Platform 4 worksite access</t>
  </si>
  <si>
    <t xml:space="preserve">2026-03-04 / 2026-03-04</t>
  </si>
  <si>
    <t xml:space="preserve">0 / 0</t>
  </si>
  <si>
    <t xml:space="preserve">2026-03-18 / 2026-03-18</t>
  </si>
  <si>
    <t xml:space="preserve">0 / -10</t>
  </si>
  <si>
    <t xml:space="preserve">WSAE-A1300</t>
  </si>
  <si>
    <t xml:space="preserve">WSAE.30.10</t>
  </si>
  <si>
    <t xml:space="preserve">Platform 4 enabling works</t>
  </si>
  <si>
    <t xml:space="preserve">2026-03-05 / 2026-03-18</t>
  </si>
  <si>
    <t xml:space="preserve">10 / 2</t>
  </si>
  <si>
    <t xml:space="preserve">2026-03-19 / 2026-04-01</t>
  </si>
  <si>
    <t xml:space="preserve">10 / -10</t>
  </si>
  <si>
    <t xml:space="preserve">In Progress</t>
  </si>
  <si>
    <t xml:space="preserve">WSAE-A1400</t>
  </si>
  <si>
    <t xml:space="preserve">WSAE.30.20</t>
  </si>
  <si>
    <t xml:space="preserve">Install temporary services</t>
  </si>
  <si>
    <t xml:space="preserve">2026-03-19 / 2026-03-27</t>
  </si>
  <si>
    <t xml:space="preserve">7 / 0</t>
  </si>
  <si>
    <t xml:space="preserve">2026-04-02 / 2026-04-14</t>
  </si>
  <si>
    <t xml:space="preserve">9 / -10</t>
  </si>
  <si>
    <t xml:space="preserve">Not Started</t>
  </si>
  <si>
    <t xml:space="preserve">WSAE-M9000</t>
  </si>
  <si>
    <t xml:space="preserve">WSAE.10</t>
  </si>
  <si>
    <t xml:space="preserve">Platform 4 worksite ready</t>
  </si>
  <si>
    <t xml:space="preserve">2026-03-27 / 2026-03-27</t>
  </si>
  <si>
    <t xml:space="preserve">2026-04-14 / 2026-04-14</t>
  </si>
  <si>
    <t xml:space="preserve">Assistant note — reported, not resolved</t>
  </si>
  <si>
    <t xml:space="preserve">AP12 milestone 2026-03-27</t>
  </si>
  <si>
    <t xml:space="preserve">UP13 milestone 2026-04-14</t>
  </si>
  <si>
    <t xml:space="preserve">Recorded field 10; date-derived 12 on a plain 5-day week (E-05)</t>
  </si>
  <si>
    <t xml:space="preserve">Conflict</t>
  </si>
  <si>
    <t xml:space="preserve">A1400 duration 7 d</t>
  </si>
  <si>
    <t xml:space="preserve">A1400 duration 9 d</t>
  </si>
  <si>
    <t xml:space="preserve">2-day increase not explained in the quotation basis (E-06)</t>
  </si>
  <si>
    <t xml:space="preserve">B. COST BY WBS, ACTIVITY AND CBS — QUOTATION REV B AGAINST FORECAST P07-X</t>
  </si>
  <si>
    <t xml:space="preserve">CBS code</t>
  </si>
  <si>
    <t xml:space="preserve">Cost element</t>
  </si>
  <si>
    <t xml:space="preserve">Quotation Rev B (GBP)</t>
  </si>
  <si>
    <t xml:space="preserve">Forecast P07-X (GBP)</t>
  </si>
  <si>
    <t xml:space="preserve">Variance (GBP)</t>
  </si>
  <si>
    <t xml:space="preserve">Risk RISK-044-X (GBP)</t>
  </si>
  <si>
    <t xml:space="preserve">Reconciled?</t>
  </si>
  <si>
    <t xml:space="preserve">WSAE-C210</t>
  </si>
  <si>
    <t xml:space="preserve">Access / Possession Standby</t>
  </si>
  <si>
    <t xml:space="preserve">Not allocated</t>
  </si>
  <si>
    <t xml:space="preserve">WSAE-C310</t>
  </si>
  <si>
    <t xml:space="preserve">Direct Labour</t>
  </si>
  <si>
    <t xml:space="preserve">WSAE-C320</t>
  </si>
  <si>
    <t xml:space="preserve">Plant and Equipment</t>
  </si>
  <si>
    <t xml:space="preserve">WSAE-C510</t>
  </si>
  <si>
    <t xml:space="preserve">Time-Related Overheads</t>
  </si>
  <si>
    <t xml:space="preserve">WSAE-C610</t>
  </si>
  <si>
    <t xml:space="preserve">CE-018 Risk Allowance</t>
  </si>
  <si>
    <t xml:space="preserve">TOTAL</t>
  </si>
  <si>
    <t xml:space="preserve">RISK-044-X carries no CBS code, so its GBP 210,000 position cannot be allocated line by line (exception E-04). It is shown at total level only and has not been apportioned by the assistant.</t>
  </si>
  <si>
    <t xml:space="preserve">C. MATERIAL TIME AND COST POSITIONS BY RECORD — SHOWN SEPARATELY</t>
  </si>
  <si>
    <t xml:space="preserve">Revision</t>
  </si>
  <si>
    <t xml:space="preserve">Schedule effect (working days)</t>
  </si>
  <si>
    <t xml:space="preserve">Cost (GBP)</t>
  </si>
  <si>
    <t xml:space="preserve">Record owner</t>
  </si>
  <si>
    <t xml:space="preserve">Basis / status</t>
  </si>
  <si>
    <t xml:space="preserve">Agrees with quotation?</t>
  </si>
  <si>
    <t xml:space="preserve">Reconciliation action</t>
  </si>
  <si>
    <t xml:space="preserve">B</t>
  </si>
  <si>
    <t xml:space="preserve">10</t>
  </si>
  <si>
    <t xml:space="preserve">Commercial Manager (submitted by Marcus Reed / Jade Okafor)</t>
  </si>
  <si>
    <t xml:space="preserve">Contractor's submitted quotation position</t>
  </si>
  <si>
    <t xml:space="preserve">CE018_Quotation_RevB.csv, 5 rows</t>
  </si>
  <si>
    <t xml:space="preserve">Baseline</t>
  </si>
  <si>
    <t xml:space="preserve">Supply the calculation build-up behind the five amounts (A-06).</t>
  </si>
  <si>
    <t xml:space="preserve">P07-X</t>
  </si>
  <si>
    <t xml:space="preserve">8</t>
  </si>
  <si>
    <t xml:space="preserve">Registered S3 replacement forecast; below the quotation</t>
  </si>
  <si>
    <t xml:space="preserve">Cost_Forecast_P07_CONFLICT.csv, 5 rows</t>
  </si>
  <si>
    <t xml:space="preserve">No — conflict</t>
  </si>
  <si>
    <t xml:space="preserve">Reconcile to the quotation line by line or record a formal variance rationale (A-01).</t>
  </si>
  <si>
    <t xml:space="preserve">7-X</t>
  </si>
  <si>
    <t xml:space="preserve">12</t>
  </si>
  <si>
    <t xml:space="preserve">Registered S3 replacement risk record; above the quotation; no CBS breakdown</t>
  </si>
  <si>
    <t xml:space="preserve">Risk_Register_CONFLICT.csv, row RISK-044-X</t>
  </si>
  <si>
    <t xml:space="preserve">Reconcile the range and apply CBS coding (A-02, A-03).</t>
  </si>
  <si>
    <t xml:space="preserve">5</t>
  </si>
  <si>
    <t xml:space="preserve">Change Manager / decision owner Elena Brooks</t>
  </si>
  <si>
    <t xml:space="preserve">Change register agrees with the quotation</t>
  </si>
  <si>
    <t xml:space="preserve">Change_Register.csv, row CHG-018</t>
  </si>
  <si>
    <t xml:space="preserve">None — agrees with the quotation.</t>
  </si>
  <si>
    <t xml:space="preserve">1.1</t>
  </si>
  <si>
    <t xml:space="preserve">Controlled event record agrees with the quotation</t>
  </si>
  <si>
    <t xml:space="preserve">CE018_Event_Record.csv, single row</t>
  </si>
  <si>
    <t xml:space="preserve">UP13</t>
  </si>
  <si>
    <t xml:space="preserve">10 recorded / 12 date-derived</t>
  </si>
  <si>
    <t xml:space="preserve">Programme records a 10-working-day variance field; the recorded dates derive 12 on a plain 5-day week</t>
  </si>
  <si>
    <t xml:space="preserve">P6_Activity_Export_UP13.csv, WSAE-M9000</t>
  </si>
  <si>
    <t xml:space="preserve">Register the CAL-5D-10H calendar and confirm whether the variance is 10 or 12 working days (A-04).</t>
  </si>
  <si>
    <t xml:space="preserve">Distinct cost positions: GBP 150,000 / GBP 185,000 / GBP 210,000 — range GBP 60,000 (32.4% of the quoted sum). Distinct time positions: 8 / 10 / 12 working days — range 4 working days. Each position is reported with its record owner. The assistant has not averaged, repaired, preferred or selected any value.</t>
  </si>
  <si>
    <t xml:space="preserve">D. CONFIGURED ROUTE AND CLOCK POSITION (Route_Clock_Rules.csv / CTRL-003 Rev 3.0)</t>
  </si>
  <si>
    <t xml:space="preserve">Rule ID</t>
  </si>
  <si>
    <t xml:space="preserve">NEC4 ECC reference</t>
  </si>
  <si>
    <t xml:space="preserve">Control</t>
  </si>
  <si>
    <t xml:space="preserve">Configured due date</t>
  </si>
  <si>
    <t xml:space="preserve">Actual date</t>
  </si>
  <si>
    <t xml:space="preserve">Status at 2026-03-31 cut-off</t>
  </si>
  <si>
    <t xml:space="preserve">Accountable owner</t>
  </si>
  <si>
    <t xml:space="preserve">Date type</t>
  </si>
  <si>
    <t xml:space="preserve">Overdue?</t>
  </si>
  <si>
    <t xml:space="preserve">RC-EW</t>
  </si>
  <si>
    <t xml:space="preserve">15.1</t>
  </si>
  <si>
    <t xml:space="preserve">Early warning recorded</t>
  </si>
  <si>
    <t xml:space="preserve">2026-02-25</t>
  </si>
  <si>
    <t xml:space="preserve">Met</t>
  </si>
  <si>
    <t xml:space="preserve">Marcus Reed / Elena Brooks</t>
  </si>
  <si>
    <t xml:space="preserve">Configured contractual date</t>
  </si>
  <si>
    <t xml:space="preserve">No</t>
  </si>
  <si>
    <t xml:space="preserve">RC-00</t>
  </si>
  <si>
    <t xml:space="preserve">33.1 / 60.1(2)</t>
  </si>
  <si>
    <t xml:space="preserve">Access restriction evidenced</t>
  </si>
  <si>
    <t xml:space="preserve">No response period configured</t>
  </si>
  <si>
    <t xml:space="preserve">2026-03-04</t>
  </si>
  <si>
    <t xml:space="preserve">Evidence present — PM determination required</t>
  </si>
  <si>
    <t xml:space="preserve">RC-01</t>
  </si>
  <si>
    <t xml:space="preserve">61.4</t>
  </si>
  <si>
    <t xml:space="preserve">Project Manager response to CE notification</t>
  </si>
  <si>
    <t xml:space="preserve">2026-03-12</t>
  </si>
  <si>
    <t xml:space="preserve">Met on the configured date</t>
  </si>
  <si>
    <t xml:space="preserve">RC-02</t>
  </si>
  <si>
    <t xml:space="preserve">62.2 / 62.3</t>
  </si>
  <si>
    <t xml:space="preserve">Quotation and assessment details submitted</t>
  </si>
  <si>
    <t xml:space="preserve">2026-04-02</t>
  </si>
  <si>
    <t xml:space="preserve">2026-03-28</t>
  </si>
  <si>
    <t xml:space="preserve">Met — content subject to NEC-05 and NEC-10</t>
  </si>
  <si>
    <t xml:space="preserve">RC-03</t>
  </si>
  <si>
    <t xml:space="preserve">62.3 / 62.6</t>
  </si>
  <si>
    <t xml:space="preserve">Project Manager reply to quotation</t>
  </si>
  <si>
    <t xml:space="preserve">2026-04-11</t>
  </si>
  <si>
    <t xml:space="preserve">Not made at cut-off</t>
  </si>
  <si>
    <t xml:space="preserve">Pending — not due at the 2026-03-31 cut-off</t>
  </si>
  <si>
    <t xml:space="preserve">n/a (change control)</t>
  </si>
  <si>
    <t xml:space="preserve">Change register next action</t>
  </si>
  <si>
    <t xml:space="preserve">FOUR-TEST SCORECARD</t>
  </si>
  <si>
    <t xml:space="preserve">Scoring: 2 = pass; 1 = bounded limitation; 0 = critical failure. Any score of 0 determines the route irrespective of the total score.</t>
  </si>
  <si>
    <t xml:space="preserve">Test ID</t>
  </si>
  <si>
    <t xml:space="preserve">Test purpose — what is tested and why it matters</t>
  </si>
  <si>
    <t xml:space="preserve">Score</t>
  </si>
  <si>
    <t xml:space="preserve">Status</t>
  </si>
  <si>
    <t xml:space="preserve">Critical failure</t>
  </si>
  <si>
    <t xml:space="preserve">Finding</t>
  </si>
  <si>
    <t xml:space="preserve">Evidence citation</t>
  </si>
  <si>
    <t xml:space="preserve">Consequence</t>
  </si>
  <si>
    <t xml:space="preserve">Required action</t>
  </si>
  <si>
    <t xml:space="preserve">T1</t>
  </si>
  <si>
    <t xml:space="preserve">Prevents decisions being taken on missing, superseded or unapproved records. Confirms every required record is present, approved, current and used for its stated purpose.</t>
  </si>
  <si>
    <t xml:space="preserve">BOUNDED LIMITATION</t>
  </si>
  <si>
    <t xml:space="preserve">All 11 permanent Context files and all 12 registered S3 evidence files are present at their approved revisions. The registered S3 replacements FCST-P07-X Rev P07-X and RISK-044-X Rev 7-X are in use and the base records FCST-P07 and RISK-044 are correctly excluded. Two bounded administrative limitations remain: RISK-044-X carries no CBS code, so its GBP 210,000 position is not linked to a valid CBS account as the crosswalk control requires (E-04); and the CAL-5D-10H calendar referenced by both programme exports is not a registered record, so working-day counts cannot be independently verified (E-05). Neither prevents human review.</t>
  </si>
  <si>
    <t xml:space="preserve">Source_Register.csv / SRC-001 Rev 3.0, all rows; Risk_Register_CONFLICT.csv / RISK-044-X Rev 7-X (no cbs_code field); P6_Activity_Export_AP12.csv and P6_Activity_Export_UP13.csv, calendar_id CAL-5D-10H</t>
  </si>
  <si>
    <t xml:space="preserve">Bounded evidence-quality actions carried to E-04 and E-05 with named owners and assurance action targets. Does not itself determine the route.</t>
  </si>
  <si>
    <t xml:space="preserve">Risk Manager to CBS-code RISK-044-X. Planning Manager to register the CAL-5D-10H calendar definition.</t>
  </si>
  <si>
    <t xml:space="preserve">T2</t>
  </si>
  <si>
    <t xml:space="preserve">Tests whether the programme, quotation, forecast, risk and change records support the same time and cost position.</t>
  </si>
  <si>
    <t xml:space="preserve">CRITICAL FAILURE</t>
  </si>
  <si>
    <t xml:space="preserve">The registered records do not describe the same commercial or time position. Cost: Quotation Rev B GBP 185,000; Forecast P07-X GBP 150,000; Risk RISK-044-X GBP 210,000 — a spread of GBP 60,000, equal to 32 per cent of the quoted sum. Time: 10, 8 and 12 working days respectively. The forecast is below the quotation on every one of the five CBS lines (total variance -GBP 35,000); the risk record is GBP 25,000 above it with no CBS breakdown. Separately, UP13 records a 10-working-day milestone variance while its own recorded dates derive 12 on a plain 5-day week, and activity WSAE-A1400 grows from 7 to 9 days between AP12 and UP13 without explanation in the quotation basis. The conflicts are reported in full; no value has been averaged, repaired or preferred. Whether any position is contractually correct is not decided here.</t>
  </si>
  <si>
    <t xml:space="preserve">CE018_Quotation_RevB.csv / QUOT-CE018-REVB Rev B; Cost_Forecast_P07_CONFLICT.csv / FCST-P07-X Rev P07-X; Risk_Register_CONFLICT.csv / RISK-044-X Rev 7-X; Change_Register.csv / CHG-018 Rev 5; P6_Activity_Export_UP13.csv / PROG-UP13, WSAE-A1400 and WSAE-M9000</t>
  </si>
  <si>
    <t xml:space="preserve">Critical failure. A score of 0 determines the route irrespective of the total score. The pack cannot be described as ready for decision while a material conflict is unresolved.</t>
  </si>
  <si>
    <t xml:space="preserve">Reconcile or formally explain each conflicting position with its named record owner before the Project Manager's assessment (E-01, E-02, E-05, E-06).</t>
  </si>
  <si>
    <t xml:space="preserve">T3</t>
  </si>
  <si>
    <t xml:space="preserve">Tests whether the configured communication, responsible role and response period in Route_Clock_Rules.csv have been followed, and whether any configured Clause 64.1 matter is left unowned or undated.</t>
  </si>
  <si>
    <t xml:space="preserve">Every objective route and clock control in Route_Clock_Rules.csv is satisfied or correctly pending-not-due: RC-EW early warning recorded 2026-02-25 against a configured due date of 2026-02-25; RC-00 access evidence present; RC-01 Project Manager response made on the configured date 2026-03-12; RC-02 quotation submitted 2026-03-28 against a due date of 2026-04-02; RC-03 Project Manager reply due 2026-04-11 and correctly pending-not-due at the 2026-03-31 cut-off. No clock is overdue, no wrong route is evidenced and no time-bar concern arises. Three configured Clause 64.1 matters (NEC-09, NEC-10 and NEC-11) are referred to the Project Manager for judgement rather than determined by the assistant. Each is bounded: it carries a named owner, a stated basis and a recorded due date, and none prevents human review. The assistant asserts no trigger indication, so no unresolved Clause 64.1 trigger arises under the configured T3 scoring rule.</t>
  </si>
  <si>
    <t xml:space="preserve">Route_Clock_Rules.csv / CTRL-003 Rev 3.0, rows RC-EW, RC-00, RC-01, RC-02, RC-03; NEC4_Decision_Readiness_Control_Matrix.csv / CTRL-007 Rev 1.0, rows NEC-09, NEC-10, NEC-11; Four_Test_Checklist.csv / CTRL-005 Rev 3.0, row T3</t>
  </si>
  <si>
    <t xml:space="preserve">Bounded limitation. Does not determine the route. The three Clause 64.1 matters must be placed before the Project Manager for determination; the assistant reports evidence findings only and does not determine contractual effect.</t>
  </si>
  <si>
    <t xml:space="preserve">Refer the Clause 64.1 matters at NEC-09, NEC-10 and NEC-11 to Elena Brooks for determination (E-03, E-07).</t>
  </si>
  <si>
    <t xml:space="preserve">T4</t>
  </si>
  <si>
    <t xml:space="preserve">Prevents the assistant from taking a decision reserved to a named NEC4 role, and confirms that notification, assessment, acceptance, instruction and implementation remain with authorised roles.</t>
  </si>
  <si>
    <t xml:space="preserve">PASS</t>
  </si>
  <si>
    <t xml:space="preserve">Contractual communications already present in the evidence were issued by their authorised roles: the early warning and CE notification by Marcus Reed for the Contractor (EW-006, CE-018); the access confirmations by Theo Grant (CORR-001, ACC-004); the Project Manager response and quotation request by Elena Brooks (PMR-018). No communication was issued or drafted by the assistant, and none was issued by an unauthorised role. Actions taken by the assistant: extract, link, compare, reconcile, cite, flag, score and prepare this review pack. Actions refused and not performed by the assistant: deciding whether CE-018 is a compensation event; deciding entitlement; deciding which commercial position is correct; assessing, accepting or rejecting Quotation Rev B; determining the contractual effect of the Clause 64.1 trigger indication; notifying, instructing, certifying or implementing CE-018. The retained decision is referred to Elena Brooks.</t>
  </si>
  <si>
    <t xml:space="preserve">Actor_Authority_Matrix.csv / CTRL-002 Rev 2.1, rows TG, MR, SK, EB, AI; CE018_Control_Brief.txt / CTRL-001 Rev 3.0, Prohibited Actions and Retained Authority; NEC4_Decision_Readiness_Control_Matrix.csv / CTRL-007 Rev 1.0, row NEC-12</t>
  </si>
  <si>
    <t xml:space="preserve">No authority breach. No reserved-authority failure exists, so the route is governed by the material record conflict rather than by referral for authority reasons.</t>
  </si>
  <si>
    <t xml:space="preserve">None. Authority boundary maintained; the contractual decision remains with Elena Brooks.</t>
  </si>
  <si>
    <t xml:space="preserve">TOTAL SCORE (max 8)</t>
  </si>
  <si>
    <t xml:space="preserve">Reviewer entry (unlocked): record the reviewer's confirmation of each score below. Formula cells on the Executive Dashboard are driven from column C of this table.</t>
  </si>
  <si>
    <t xml:space="preserve">Reviewer confirmation</t>
  </si>
  <si>
    <t xml:space="preserve">Reviewer score</t>
  </si>
  <si>
    <t xml:space="preserve">Reviewer</t>
  </si>
  <si>
    <t xml:space="preserve">Date</t>
  </si>
  <si>
    <t xml:space="preserve">Comment</t>
  </si>
  <si>
    <t xml:space="preserve">NEC4 DECISION-READINESS CONTROL CROSS-REFERENCE — ALL 12 CONFIGURED CONTROLS</t>
  </si>
  <si>
    <t xml:space="preserve">Configured process controls from NEC4_Decision_Readiness_Control_Matrix.csv / CTRL-007 Rev 1.0. These are configured demonstration controls, not a claim of NEC4 or legal compliance.</t>
  </si>
  <si>
    <t xml:space="preserve">Control ID</t>
  </si>
  <si>
    <t xml:space="preserve">Control group</t>
  </si>
  <si>
    <t xml:space="preserve">Four-test link</t>
  </si>
  <si>
    <t xml:space="preserve">Decision-readiness question</t>
  </si>
  <si>
    <t xml:space="preserve">Evidence</t>
  </si>
  <si>
    <t xml:space="preserve">Result</t>
  </si>
  <si>
    <t xml:space="preserve">Consequence / boundary</t>
  </si>
  <si>
    <t xml:space="preserve">Criticality</t>
  </si>
  <si>
    <t xml:space="preserve">NEC-01</t>
  </si>
  <si>
    <t xml:space="preserve">Early warning</t>
  </si>
  <si>
    <t xml:space="preserve">T1/T3</t>
  </si>
  <si>
    <t xml:space="preserve">Is there dated evidence that the access risk was warned when it became apparent?</t>
  </si>
  <si>
    <t xml:space="preserve">Email_01_Access_Risk_2026-02-24.eml / CORR-001 Rev 1.0; Email_02_EW006_2026-02-25.eml / EW-006 Rev 1.0; Route_Clock_Rules.csv / CTRL-003 row RC-EW</t>
  </si>
  <si>
    <t xml:space="preserve">PASSED</t>
  </si>
  <si>
    <t xml:space="preserve">The operational constraint was raised 2026-02-24 and the Contractor's early warning was recorded 2026-02-25, meeting the configured RC-EW due date of 2026-02-25. EW-006 and CE-018 remain separate records; the early warning did not become the compensation event.</t>
  </si>
  <si>
    <t xml:space="preserve">Objective dates met. Whether the warning was sufficiently prompt in contractual terms remains a Project Manager judgement.</t>
  </si>
  <si>
    <t xml:space="preserve">Major</t>
  </si>
  <si>
    <t xml:space="preserve">NEC-02</t>
  </si>
  <si>
    <t xml:space="preserve">Access and event basis</t>
  </si>
  <si>
    <t xml:space="preserve">Do the Accepted Programme and access record evidence the planned access date and the actual restriction?</t>
  </si>
  <si>
    <t xml:space="preserve">P6_Activity_Export_AP12.csv / PROG-AP12, WSAE-A1200 (planned 2026-03-04); Email_03_Access_Restriction_2026-03-04.eml / ACC-004 Rev 1.0; Email_04_CE018_Notification_2026-03-05.eml / CE-018 Rev 1.0</t>
  </si>
  <si>
    <t xml:space="preserve">EVIDENCED_PM_DETERMINATION</t>
  </si>
  <si>
    <t xml:space="preserve">AP12 evidences the planned access date of 2026-03-04. ACC-004 evidences that the planned 8-hour window was not available and that a 2-hour escorted window was provided instead. The candidate event basis is evidenced and referred to the Project Manager.</t>
  </si>
  <si>
    <t xml:space="preserve">The assistant evidences the candidate basis only. It has not decided and must not decide that a compensation event exists or that entitlement follows.</t>
  </si>
  <si>
    <t xml:space="preserve">Critical evidence and authority</t>
  </si>
  <si>
    <t xml:space="preserve">NEC-03</t>
  </si>
  <si>
    <t xml:space="preserve">Contractor notification</t>
  </si>
  <si>
    <t xml:space="preserve">61.3</t>
  </si>
  <si>
    <t xml:space="preserve">Was the Contractor notification separately recorded, correctly routed and within the configured time-bar control?</t>
  </si>
  <si>
    <t xml:space="preserve">Email_04_CE018_Notification_2026-03-05.eml / CE-018 Rev 1.0; Email_02_EW006_2026-02-25.eml / EW-006 Rev 1.0; Source_Register.csv / SRC-001 Rev 3.0</t>
  </si>
  <si>
    <t xml:space="preserve">The notification was issued by Marcus Reed to Elena Brooks on 2026-03-05, one working day after the 2026-03-04 restriction, and is recorded separately from EW-006 under its own record ID and Message-ID. Routing matches the Authority Matrix. No separate Clause 61.3 period is configured in Route_Clock_Rules.csv, so only the objective elapsed time is reported.</t>
  </si>
  <si>
    <t xml:space="preserve">No time-bar concern arises on the objective dates. Whether any contractual exception applies is not decided by the assistant.</t>
  </si>
  <si>
    <t xml:space="preserve">Critical</t>
  </si>
  <si>
    <t xml:space="preserve">NEC-04</t>
  </si>
  <si>
    <t xml:space="preserve">PM notification response</t>
  </si>
  <si>
    <t xml:space="preserve">Did the Project Manager respond within the configured one-week period?</t>
  </si>
  <si>
    <t xml:space="preserve">Email_05_PM_Response_2026-03-12.eml / PMR-018 Rev 1.0; Route_Clock_Rules.csv / CTRL-003 row RC-01</t>
  </si>
  <si>
    <t xml:space="preserve">RC-01 sets a trigger date of 2026-03-05 with a configured one-week period and a due date of 2026-03-12. The Project Manager response is dated 2026-03-12, on the configured date.</t>
  </si>
  <si>
    <t xml:space="preserve">Configured clock met. No escalation required.</t>
  </si>
  <si>
    <t xml:space="preserve">Critical clock</t>
  </si>
  <si>
    <t xml:space="preserve">NEC-05</t>
  </si>
  <si>
    <t xml:space="preserve">Quotation content</t>
  </si>
  <si>
    <t xml:space="preserve">T1/T2/T3</t>
  </si>
  <si>
    <t xml:space="preserve">62.2</t>
  </si>
  <si>
    <t xml:space="preserve">Does the quotation pack contain assessment details and, where remaining work is altered, the required alterations to the Accepted Programme?</t>
  </si>
  <si>
    <t xml:space="preserve">CE018_Quotation_RevB.csv / QUOT-CE018-REVB Rev B, 5 rows; Email_06_Quotation_Submission_2026-03-28.eml / QSUB-018 Rev 1.0; P6_Activity_Export_AP12.csv / PROG-AP12; P6_Activity_Export_UP13.csv / PROG-UP13</t>
  </si>
  <si>
    <t xml:space="preserve">CONDITIONAL</t>
  </si>
  <si>
    <t xml:space="preserve">Assessment details are present and structured: each of the five quotation lines carries WBS, activity, CBS code, cost element, amount, schedule effect and a narrative basis, and QSUB-018 expressly links AP12, UP13 and the affected activities and CBS accounts. Two conditions remain. First, no calculation build-up (rates, quantities or durations) supports the narrative basis. Second, the supporting records the Contractor cites do not agree with the quoted position, and UP13 is a current update rather than an accepted programme.</t>
  </si>
  <si>
    <t xml:space="preserve">Content presence is evidenced; contractual sufficiency is not. The Clause 62.2 assessment-detail check has been explicitly performed and is reported as conditional, not satisfied.</t>
  </si>
  <si>
    <t xml:space="preserve">Critical content</t>
  </si>
  <si>
    <t xml:space="preserve">NEC-06</t>
  </si>
  <si>
    <t xml:space="preserve">Quotation submission clock</t>
  </si>
  <si>
    <t xml:space="preserve">62.3</t>
  </si>
  <si>
    <t xml:space="preserve">Was the quotation and assessment detail submitted within the configured three-week period?</t>
  </si>
  <si>
    <t xml:space="preserve">Email_06_Quotation_Submission_2026-03-28.eml / QSUB-018 Rev 1.0; CE018_Quotation_RevB.csv / QUOT-CE018-REVB Rev B; Route_Clock_Rules.csv / CTRL-003 row RC-02</t>
  </si>
  <si>
    <t xml:space="preserve">RC-02 sets a trigger date of 2026-03-12, a configured three-week period and a due date of 2026-04-02. The quotation was submitted 2026-03-28, five calendar days inside the configured period.</t>
  </si>
  <si>
    <t xml:space="preserve">Configured clock met. Content adequacy is assessed separately under NEC-05 and NEC-10.</t>
  </si>
  <si>
    <t xml:space="preserve">NEC-07</t>
  </si>
  <si>
    <t xml:space="preserve">PM quotation response</t>
  </si>
  <si>
    <t xml:space="preserve">T3/T4</t>
  </si>
  <si>
    <t xml:space="preserve">Is the Project Manager response recorded, or correctly classified as pending-not-due at the cut-off?</t>
  </si>
  <si>
    <t xml:space="preserve">Route_Clock_Rules.csv / CTRL-003 row RC-03; Change_Register.csv / CHG-018 Rev 5; CE018_Event_Record.csv / CASE-001 Rev 1.1</t>
  </si>
  <si>
    <t xml:space="preserve">PENDING_NOT_DUE</t>
  </si>
  <si>
    <t xml:space="preserve">RC-03 sets a trigger date of 2026-03-28, a configured two-week period and a due date of 2026-04-11. At the 2026-03-31 evidence cut-off the response is not yet due and no decision record exists. CHG-018 records decision status 'Not yet decided' with a next action due 2026-04-02.</t>
  </si>
  <si>
    <t xml:space="preserve">Not overdue and does not prevent review. The assistant has not inferred, drafted or issued the Project Manager's response.</t>
  </si>
  <si>
    <t xml:space="preserve">Critical clock and authority</t>
  </si>
  <si>
    <t xml:space="preserve">NEC-08</t>
  </si>
  <si>
    <t xml:space="preserve">Clause 64.1 trigger 1</t>
  </si>
  <si>
    <t xml:space="preserve">T2/T3</t>
  </si>
  <si>
    <t xml:space="preserve">64.1 — late/missing quotation</t>
  </si>
  <si>
    <t xml:space="preserve">Has the Contractor failed to submit the quotation and assessment details within the permitted time?</t>
  </si>
  <si>
    <t xml:space="preserve">Email_05_PM_Response_2026-03-12.eml / PMR-018 Rev 1.0; Email_06_Quotation_Submission_2026-03-28.eml / QSUB-018 Rev 1.0; CE018_Quotation_RevB.csv / QUOT-CE018-REVB Rev B; Route_Clock_Rules.csv / CTRL-003 row RC-02</t>
  </si>
  <si>
    <t xml:space="preserve">NOT_TRIGGERED</t>
  </si>
  <si>
    <t xml:space="preserve">A quotation with assessment details was submitted on 2026-03-28, inside the configured period ending 2026-04-02. Neither the quotation nor the assessment details are absent or late.</t>
  </si>
  <si>
    <t xml:space="preserve">No trigger on this limb. Content quality is reported under NEC-05, not here.</t>
  </si>
  <si>
    <t xml:space="preserve">NEC-09</t>
  </si>
  <si>
    <t xml:space="preserve">Clause 64.1 trigger 2</t>
  </si>
  <si>
    <t xml:space="preserve">64.1 — incorrect assessment</t>
  </si>
  <si>
    <t xml:space="preserve">Is there a material inconsistency or unsupported basis that may indicate the Contractor's assessment is not correct?</t>
  </si>
  <si>
    <t xml:space="preserve">CE018_Quotation_RevB.csv / QUOT-CE018-REVB Rev B; Cost_Forecast_P07_CONFLICT.csv / FCST-P07-X Rev P07-X; Risk_Register_CONFLICT.csv / RISK-044-X Rev 7-X; P6_Activity_Export_UP13.csv / PROG-UP13</t>
  </si>
  <si>
    <t xml:space="preserve">PM_JUDGEMENT</t>
  </si>
  <si>
    <t xml:space="preserve">MATERIAL CONFLICT IDENTIFIED — PROJECT MANAGER DETERMINATION REQUIRED. Three registered records state three different time and cost positions for the same event: GBP 185,000 / 10 days, GBP 150,000 / 8 days and GBP 210,000 / 12 days. No calculation build-up supports the quoted figures, and UP13 carries an internal inconsistency between its recorded 10-day variance field and the 12 working days derived from its own dates. The registered records therefore provide objective evidence of conflicting cost and time positions.</t>
  </si>
  <si>
    <t xml:space="preserve">The assistant must not decide that the Contractor assessed the compensation event incorrectly. Objective conflict is evidenced; whether that conflict means the assessment is incorrect for Clause 64.1 purposes is a determination reserved to Elena Brooks, NEC4 Project Manager.</t>
  </si>
  <si>
    <t xml:space="preserve">Critical judgement</t>
  </si>
  <si>
    <t xml:space="preserve">NEC-10</t>
  </si>
  <si>
    <t xml:space="preserve">Clause 64.1 trigger 3</t>
  </si>
  <si>
    <t xml:space="preserve">62.2 / 64.1 — programme alteration missing</t>
  </si>
  <si>
    <t xml:space="preserve">Where the event alters remaining work, was the required programme or alteration submitted with the quotation pack?</t>
  </si>
  <si>
    <t xml:space="preserve">Email_06_Quotation_Submission_2026-03-28.eml / QSUB-018 Rev 1.0; P6_Activity_Export_UP13.csv / PROG-UP13; P6_Activity_Export_AP12.csv / PROG-AP12; CE018_Quotation_RevB.csv / QUOT-CE018-REVB Rev B</t>
  </si>
  <si>
    <t xml:space="preserve">UP13 is a periodic current programme update linked to the quotation. It evidences changed activities for WSAE-A1300, WSAE-A1400 and WSAE-M9000, and QSUB-018 expressly references AP12, UP13 and those activities. It does not conclusively establish that the specific alterations to the Accepted Programme required by Clause 62.2 were submitted as part of the quotation assessment.</t>
  </si>
  <si>
    <t xml:space="preserve">The assistant must not determine contractual sufficiency. Presence and linkage of a current programme update are evidenced; whether that update constitutes the required Clause 62.2 alterations is reserved to Elena Brooks. This treatment is consistent with the approved S1 treatment of the same programme evidence.</t>
  </si>
  <si>
    <t xml:space="preserve">NEC-11</t>
  </si>
  <si>
    <t xml:space="preserve">Clause 64.1 trigger 4</t>
  </si>
  <si>
    <t xml:space="preserve">31.1 / 31.3 / 32.2 / 64.1 — latest programme not accepted</t>
  </si>
  <si>
    <t xml:space="preserve">Is an Accepted Programme available and is any relevant non-acceptance status identified?</t>
  </si>
  <si>
    <t xml:space="preserve">P6_Activity_Export_AP12.csv / PROG-AP12 Rev AP12 (programme_status 'Accepted Programme'); P6_Activity_Export_UP13.csv / PROG-UP13 Rev UP13 (programme_status 'Current Update'); Source_Register.csv / SRC-001 Rev 3.0</t>
  </si>
  <si>
    <t xml:space="preserve">An Accepted Programme is available: AP12 is registered and carries accepted status, and it has not been substituted by UP13 anywhere in this assessment. However, no Project Manager acceptance or non-acceptance record exists for UP13 in the registered evidence, so its status can be neither confirmed nor excluded without inference.</t>
  </si>
  <si>
    <t xml:space="preserve">Referred to the Project Manager. The assistant distinguishes AP12 from UP13 and does not treat an update as accepted without evidence.</t>
  </si>
  <si>
    <t xml:space="preserve">NEC-12</t>
  </si>
  <si>
    <t xml:space="preserve">Clauses 61-64 and Authority Matrix</t>
  </si>
  <si>
    <t xml:space="preserve">Are the remaining notification, assessment, acceptance, instruction and implementation actions reserved to the named NEC4 role?</t>
  </si>
  <si>
    <t xml:space="preserve">Actor_Authority_Matrix.csv / CTRL-002 Rev 2.1, rows EB, MR, SK, AI; CE018_Control_Brief.txt / CTRL-001 Rev 3.0, Prohibited Actions and Retained Authority</t>
  </si>
  <si>
    <t xml:space="preserve">All remaining contractual actions — the Clause 62.3/62.6 response, any Clause 64.1 determination, acceptance or rejection of the quotation, and implementation — are reserved to Elena Brooks and are recorded as reserved in this pack. The assistant prepared cited review material only and took no reserved action.</t>
  </si>
  <si>
    <t xml:space="preserve">No authority breach. The route is not driven by an authority failure.</t>
  </si>
  <si>
    <t xml:space="preserve">Critical authority</t>
  </si>
  <si>
    <t xml:space="preserve">Clause 62.2 check (NEC-05): explicitly performed. Result CONDITIONAL — assessment details are present by WBS, activity and CBS and are linked to AP12 and UP13 through QSUB-018, but no calculation build-up supports the amounts and the Contractor's own supporting records conflict. Configured NEC4 Process-Assurance Result: CONFIGURED NEC4 PROCESS CONTROL FAILURE — STOP / RECONCILE</t>
  </si>
  <si>
    <t xml:space="preserve">CLAUSE 64.1 INTERVENTION TRIGGERS — ALL FOUR CHECKS REPORTED SEPARATELY</t>
  </si>
  <si>
    <t xml:space="preserve">Evidence Finding | Contractual Status | Basis. The assistant reports evidence only. Contractual effect is determined by Elena Brooks, NEC4 Project Manager.</t>
  </si>
  <si>
    <t xml:space="preserve">Trigger</t>
  </si>
  <si>
    <t xml:space="preserve">Evidence finding</t>
  </si>
  <si>
    <t xml:space="preserve">Contractual status</t>
  </si>
  <si>
    <t xml:space="preserve">Basis / citation</t>
  </si>
  <si>
    <t xml:space="preserve">Trigger 1 — Clause 64.1, late or missing quotation</t>
  </si>
  <si>
    <t xml:space="preserve">Quotation Rev B and its assessment details were submitted on 2026-03-28, within the configured period ending 2026-04-02 (RC-02). Nothing required is absent or late.</t>
  </si>
  <si>
    <t xml:space="preserve">Route_Clock_Rules.csv / CTRL-003 Rev 3.0 row RC-02; Email_06_Quotation_Submission_2026-03-28.eml / QSUB-018 Rev 1.0; CE018_Quotation_RevB.csv / QUOT-CE018-REVB Rev B</t>
  </si>
  <si>
    <t xml:space="preserve">Trigger 2 — Clause 64.1, assessment may not be correct</t>
  </si>
  <si>
    <t xml:space="preserve">MATERIAL CONFLICT IDENTIFIED — PROJECT MANAGER DETERMINATION REQUIRED. Three registered records state three different positions for the same event: GBP 185,000 / 10 working days (Quotation Rev B), GBP 150,000 / 8 working days (Forecast P07-X) and GBP 210,000 / 12 working days (Risk RISK-044-X). No calculation build-up supports the quoted figures, and UP13 is internally inconsistent on the milestone variance. The registered records provide objective evidence of conflicting cost and time positions. The assistant must not decide that the Contractor assessed the compensation event incorrectly; that determination remains with Elena Brooks, NEC4 Project Manager.</t>
  </si>
  <si>
    <t xml:space="preserve">PROJECT MANAGER JUDGEMENT</t>
  </si>
  <si>
    <t xml:space="preserve">CE018_Quotation_RevB.csv / QUOT-CE018-REVB Rev B; Cost_Forecast_P07_CONFLICT.csv / FCST-P07-X Rev P07-X; Risk_Register_CONFLICT.csv / RISK-044-X Rev 7-X; P6_Activity_Export_UP13.csv / PROG-UP13, WSAE-M9000</t>
  </si>
  <si>
    <t xml:space="preserve">Trigger 3 — Clause 64.1, required programme alteration missing</t>
  </si>
  <si>
    <t xml:space="preserve">UP13 is a periodic current programme update linked to the quotation. It evidences changed activities — the revised sequence for WSAE-A1300, WSAE-A1400 and WSAE-M9000, with QSUB-018 referencing AP12, UP13 and those activities — but it does not conclusively establish that the specific alterations to the Accepted Programme required by Clause 62.2 were submitted as part of the quotation assessment. The assistant must not determine contractual sufficiency. This treatment is consistent with the approved S1 treatment of the same programme evidence.</t>
  </si>
  <si>
    <t xml:space="preserve">Email_06_Quotation_Submission_2026-03-28.eml / QSUB-018 Rev 1.0; P6_Activity_Export_UP13.csv / PROG-UP13; P6_Activity_Export_AP12.csv / PROG-AP12</t>
  </si>
  <si>
    <t xml:space="preserve">Trigger 4 — Clause 64.1, latest programme not accepted</t>
  </si>
  <si>
    <t xml:space="preserve">An Accepted Programme is available and has been used only for its registered purpose: AP12 carries accepted status and has not been substituted by UP13. No Project Manager acceptance or non-acceptance record exists for UP13 in the registered evidence, so the status of the latest programme can be neither confirmed nor excluded without inference.</t>
  </si>
  <si>
    <t xml:space="preserve">P6_Activity_Export_AP12.csv / PROG-AP12 Rev AP12; P6_Activity_Export_UP13.csv / PROG-UP13 Rev UP13; Source_Register.csv / SRC-001 Rev 3.0</t>
  </si>
  <si>
    <t xml:space="preserve">A trigger indication is an evidence finding. It does not decide that the Contractor's assessment is incorrect, does not decide entitlement and does not determine contractual effect. Determination is reserved to Elena Brooks, NEC4 Project Manager, with a configured contractual response date of 2026-04-11 (RC-03, Clause 62.3 / 62.6).</t>
  </si>
  <si>
    <t xml:space="preserve">ASSURANCE EXCEPTIONS AND REQUIRED ACTIONS</t>
  </si>
  <si>
    <t xml:space="preserve">Critical assurance exceptions are counted separately from critical test failures. Assistant-assigned dates are assurance action targets, not contractual deadlines.</t>
  </si>
  <si>
    <t xml:space="preserve">ASSURANCE EXCEPTIONS — PAGE 1 OF 2</t>
  </si>
  <si>
    <t xml:space="preserve">Exception ID</t>
  </si>
  <si>
    <t xml:space="preserve">Category</t>
  </si>
  <si>
    <t xml:space="preserve">Issue</t>
  </si>
  <si>
    <t xml:space="preserve">Due date</t>
  </si>
  <si>
    <t xml:space="preserve">Action status</t>
  </si>
  <si>
    <t xml:space="preserve">Retest requirement</t>
  </si>
  <si>
    <t xml:space="preserve">E-01</t>
  </si>
  <si>
    <t xml:space="preserve">Forecast P07-X conflicts with Quotation Rev B on cost and time: GBP 150,000 / 8 working days against GBP 185,000 / 10 working days. The forecast is below the quotation on all five CBS lines, a total variance of -GBP 35,000.</t>
  </si>
  <si>
    <t xml:space="preserve">The pack cannot evidence a single reliable commercial position. Drives T2 = 0 and is part of the material conflict referred to the Project Manager under E-03.</t>
  </si>
  <si>
    <t xml:space="preserve">CE018_Quotation_RevB.csv / QUOT-CE018-REVB Rev B; Cost_Forecast_P07_CONFLICT.csv / FCST-P07-X Rev P07-X, rows WSAE-C210/C310/C320/C510/C610</t>
  </si>
  <si>
    <t xml:space="preserve">Sofia Khan — Project Controls Lead (forecast); Commercial Manager via Marcus Reed (quotation)</t>
  </si>
  <si>
    <t xml:space="preserve">2026-04-08</t>
  </si>
  <si>
    <t xml:space="preserve">Assurance action target — not a contractual deadline</t>
  </si>
  <si>
    <t xml:space="preserve">Open</t>
  </si>
  <si>
    <t xml:space="preserve">T2 and T3 must be rerun</t>
  </si>
  <si>
    <t xml:space="preserve">E-02</t>
  </si>
  <si>
    <t xml:space="preserve">Risk record RISK-044-X conflicts with Quotation Rev B on cost and time: GBP 210,000 / 12 working days against GBP 185,000 / 10 working days, a variance of +GBP 25,000 and +2 working days.</t>
  </si>
  <si>
    <t xml:space="preserve">A third, higher position exists for the same event with no CBS allocation. Drives T2 = 0 and is part of the material conflict referred to the Project Manager under E-03.</t>
  </si>
  <si>
    <t xml:space="preserve">Risk_Register_CONFLICT.csv / RISK-044-X Rev 7-X; CE018_Quotation_RevB.csv / QUOT-CE018-REVB Rev B</t>
  </si>
  <si>
    <t xml:space="preserve">E-03</t>
  </si>
  <si>
    <t xml:space="preserve">Material record conflict requires the Project Manager to determine whether the Contractor's assessment is incorrect for Clause 64.1 purposes. Controls NEC-09 and NEC-10 return PM_JUDGEMENT: the assistant evidences the objective conflict and the linkage of UP13 to the quotation, but must not decide that the Contractor assessed the compensation event incorrectly, and must not determine contractual sufficiency of the programme submitted.</t>
  </si>
  <si>
    <t xml:space="preserve">Reserved-authority exception. The determination cannot be made by the assistant at any score. It does not prevent the Project Manager's review; it is the substance of that review.</t>
  </si>
  <si>
    <t xml:space="preserve">NEC4_Decision_Readiness_Control_Matrix.csv / CTRL-007 Rev 1.0 rows NEC-09 and NEC-10; CE018_Control_Brief.txt / CTRL-001 Rev 3.0, Prohibited Actions</t>
  </si>
  <si>
    <t xml:space="preserve">Configured contractual response date (RC-03, Clause 62.3 / 62.6)</t>
  </si>
  <si>
    <t xml:space="preserve">Open — reserved to the Project Manager</t>
  </si>
  <si>
    <t xml:space="preserve">Not closed by assurance retest; determination is recorded by the Project Manager</t>
  </si>
  <si>
    <t xml:space="preserve">E-04</t>
  </si>
  <si>
    <t xml:space="preserve">RISK-044-X carries no CBS code, so its GBP 210,000 position is not linked to a valid CBS account. The crosswalk control requires every quoted or forecast value to be linked to a valid CBS account.</t>
  </si>
  <si>
    <t xml:space="preserve">The risk position cannot be reconciled line by line against the quotation or forecast. Contributes to T1 = 1.</t>
  </si>
  <si>
    <t xml:space="preserve">Risk_Register_CONFLICT.csv / RISK-044-X Rev 7-X (no cbs_code field); CE018_WBS_Programme_CBS_Crosswalk.csv / XWALK-001 Rev 1.0</t>
  </si>
  <si>
    <t xml:space="preserve">T1 and T2 must be rerun</t>
  </si>
  <si>
    <t xml:space="preserve">E-05</t>
  </si>
  <si>
    <t xml:space="preserve">UP13 is internally inconsistent on the milestone position, and the calendar needed to resolve it is unregistered. UP13 records a 10-working-day variance and -10 days total float at WSAE-M9000, but its own dates (AP12 2026-03-27 to UP13 2026-04-14) derive 12 working days on a plain 5-day week. The CAL-5D-10H calendar referenced by both programme exports is not registered in SRC-001 Rev 3.0.</t>
  </si>
  <si>
    <t xml:space="preserve">The evidenced time effect may be 10 or 12 working days. The assistant reports both readings and has not selected or repaired either. Contributes to T1 = 1 and T2 = 0.</t>
  </si>
  <si>
    <t xml:space="preserve">P6_Activity_Export_UP13.csv / PROG-UP13, WSAE-M9000 (variance_to_accepted_finish_working_days, total_float_days); P6_Activity_Export_AP12.csv / PROG-AP12, WSAE-M9000; Source_Register.csv / SRC-001 Rev 3.0 (no calendar record)</t>
  </si>
  <si>
    <t xml:space="preserve">T1, T2 and T3 must be rerun</t>
  </si>
  <si>
    <t xml:space="preserve">ASSURANCE EXCEPTIONS (CONTINUED) — PAGE 2 OF 2</t>
  </si>
  <si>
    <t xml:space="preserve">E-06</t>
  </si>
  <si>
    <t xml:space="preserve">Activity WSAE-A1400 original duration increases from 7 days in AP12 to 9 days in UP13. The change is not explained in the quotation basis, the submission email or any registered record.</t>
  </si>
  <si>
    <t xml:space="preserve">Part of the forecast time effect may arise from a duration change rather than the access restriction. Material to the time position and to NEC-05.</t>
  </si>
  <si>
    <t xml:space="preserve">P6_Activity_Export_AP12.csv / PROG-AP12, WSAE-A1400 (original_duration_days 7); P6_Activity_Export_UP13.csv / PROG-UP13, WSAE-A1400 (original_duration_days 9)</t>
  </si>
  <si>
    <t xml:space="preserve">Marcus Reed — Contractor Delivery Lead, with Planning Manager</t>
  </si>
  <si>
    <t xml:space="preserve">T2 must be rerun</t>
  </si>
  <si>
    <t xml:space="preserve">E-07</t>
  </si>
  <si>
    <t xml:space="preserve">No Project Manager acceptance or non-acceptance record exists for UP13 in the registered evidence, so control NEC-11 (Clause 64.1 trigger 4) returns PM_JUDGEMENT rather than a determined result.</t>
  </si>
  <si>
    <t xml:space="preserve">The status of the latest programme cannot be confirmed or excluded without inference, which the assistant will not supply. No contractual programme-response date can be calculated from the registered evidence, because the date and status of submission of UP13 for acceptance are not evidenced. RC-03 relates to the quotation response and must not be used as the programme-acceptance date.</t>
  </si>
  <si>
    <t xml:space="preserve">P6_Activity_Export_UP13.csv / PROG-UP13 Rev UP13; Source_Register.csv / SRC-001 Rev 3.0; NEC4_Decision_Readiness_Control_Matrix.csv / CTRL-007 Rev 1.0 row NEC-11</t>
  </si>
  <si>
    <t xml:space="preserve">Assurance action target — not a contractual deadline. No contractual programme-response date is calculable.</t>
  </si>
  <si>
    <t xml:space="preserve">Not closed by assurance retest; status is recorded by the Project Manager</t>
  </si>
  <si>
    <t xml:space="preserve">E-08</t>
  </si>
  <si>
    <t xml:space="preserve">Minor</t>
  </si>
  <si>
    <t xml:space="preserve">Quotation Rev B carries a narrative basis for each line but no calculation build-up — no rates, quantities or durations supporting the five amounts.</t>
  </si>
  <si>
    <t xml:space="preserve">Control NEC-05 (Clause 62.2) is reported CONDITIONAL rather than PASSED. The Project Manager cannot test the derivation of the quoted sums from the pack as submitted.</t>
  </si>
  <si>
    <t xml:space="preserve">CE018_Quotation_RevB.csv / QUOT-CE018-REVB Rev B, basis column, all 5 rows; NEC4_Decision_Readiness_Control_Matrix.csv / CTRL-007 Rev 1.0 row NEC-05</t>
  </si>
  <si>
    <t xml:space="preserve">Marcus Reed — Contractor Delivery Lead</t>
  </si>
  <si>
    <t xml:space="preserve">T1 and T2 must be rerun. Closure of E-08 through action A-06 is required before retest.</t>
  </si>
  <si>
    <t xml:space="preserve">COUNTS</t>
  </si>
  <si>
    <t xml:space="preserve">Critical TEST failures (tests scoring 0) are counted separately on the Four-Test Scorecard and the Executive Dashboard. The two counters measure different things and must not be combined.</t>
  </si>
  <si>
    <t xml:space="preserve">REQUIRED ACTIONS</t>
  </si>
  <si>
    <t xml:space="preserve">Action ID</t>
  </si>
  <si>
    <t xml:space="preserve">Action</t>
  </si>
  <si>
    <t xml:space="preserve">Dependency</t>
  </si>
  <si>
    <t xml:space="preserve">Reviewer note</t>
  </si>
  <si>
    <t xml:space="preserve">A-01</t>
  </si>
  <si>
    <t xml:space="preserve">Reconcile Forecast P07-X to Quotation Rev B line by line, or record a formal variance rationale for each CBS line.</t>
  </si>
  <si>
    <t xml:space="preserve">A-02</t>
  </si>
  <si>
    <t xml:space="preserve">Reconcile the RISK-044-X position to the quotation and forecast, or record a formal rationale for the higher time and cost range.</t>
  </si>
  <si>
    <t xml:space="preserve">A-03</t>
  </si>
  <si>
    <t xml:space="preserve">Apply CBS coding to RISK-044-X so its value links to a valid CBS account under XWALK-001.</t>
  </si>
  <si>
    <t xml:space="preserve">A-04</t>
  </si>
  <si>
    <t xml:space="preserve">Register the CAL-5D-10H calendar definition, including any non-working days, and confirm whether the WSAE-M9000 variance is 10 or 12 working days.</t>
  </si>
  <si>
    <t xml:space="preserve">A-05</t>
  </si>
  <si>
    <t xml:space="preserve">Explain and evidence the WSAE-A1400 duration change from 7 to 9 days, and state whether it is attributed to CE-018.</t>
  </si>
  <si>
    <t xml:space="preserve">A-06</t>
  </si>
  <si>
    <t xml:space="preserve">Supply the calculation build-up (rates, quantities, durations) behind the five Quotation Rev B amounts.</t>
  </si>
  <si>
    <t xml:space="preserve">A-07</t>
  </si>
  <si>
    <t xml:space="preserve">Determine whether the Contractor's assessment is incorrect for Clause 64.1 purposes, and whether the programme submitted satisfies Clause 62.2, and record both determinations.</t>
  </si>
  <si>
    <t xml:space="preserve">Reserved to the Project Manager</t>
  </si>
  <si>
    <t xml:space="preserve">A-08</t>
  </si>
  <si>
    <t xml:space="preserve">Record the date and status of submission of UP13 for acceptance, and the acceptance or non-acceptance status, so control NEC-11 can be determined.</t>
  </si>
  <si>
    <t xml:space="preserve">Assurance action target — not a contractual deadline. No contractual programme-response date is calculable from the registered evidence.</t>
  </si>
  <si>
    <t xml:space="preserve">ADMINISTRATIVE OBSERVATIONS — NON-ACTIONABLE, DO NOT AFFECT READINESS</t>
  </si>
  <si>
    <t xml:space="preserve">• Source_Register.csv / SRC-001 Rev 3.0 contains no CTRL-004 row; control references run CTRL-003 to CTRL-005. This is a register numbering gap, not a missing file.</t>
  </si>
  <si>
    <t xml:space="preserve">• Seven Context files and all six .eml records carry no internal revision marker, so their approved revision is asserted by SRC-001 Rev 3.0 alone.</t>
  </si>
  <si>
    <t xml:space="preserve">• WBS_Hierarchy.csv / WBS-001 Rev 1.0 contains milestone group WSAE.90 'Project Milestones', which is not used by the CE-018 crosswalk. WSAE-M9000 maps to WSAE.10 consistently across AP12, UP13 and XWALK-001.</t>
  </si>
  <si>
    <t xml:space="preserve">• The five branding PNG files are formatting assets. They are not registered in SRC-001 Rev 3.0 and have not been inventoried, cited or scored as evidence.</t>
  </si>
  <si>
    <t xml:space="preserve">DECISION AND AUDIT LOG</t>
  </si>
  <si>
    <t xml:space="preserve">Assessment record, route, reviewer entry and retest history. Reviewer-entry cells are shaded and unlocked.</t>
  </si>
  <si>
    <t xml:space="preserve">Item</t>
  </si>
  <si>
    <t xml:space="preserve">Value</t>
  </si>
  <si>
    <t xml:space="preserve">Owner</t>
  </si>
  <si>
    <t xml:space="preserve">Reviewer entry</t>
  </si>
  <si>
    <t xml:space="preserve">Notes</t>
  </si>
  <si>
    <t xml:space="preserve">Assessment date</t>
  </si>
  <si>
    <t xml:space="preserve">Assurance assessment run for scenario S3.</t>
  </si>
  <si>
    <t xml:space="preserve">Evidence cut-off</t>
  </si>
  <si>
    <t xml:space="preserve">Configured cut-off (CASE-001 Rev 1.1)</t>
  </si>
  <si>
    <t xml:space="preserve">Applied</t>
  </si>
  <si>
    <t xml:space="preserve">Used to determine whether any configured response clock is overdue.</t>
  </si>
  <si>
    <t xml:space="preserve">CE-018 Assurance Assistant</t>
  </si>
  <si>
    <t xml:space="preserve">Reported</t>
  </si>
  <si>
    <t xml:space="preserve">Total 4 of 8. T2 scores 0; T3 scores 1.</t>
  </si>
  <si>
    <t xml:space="preserve">All 12 configured controls run.</t>
  </si>
  <si>
    <t xml:space="preserve">Four checks reported separately.</t>
  </si>
  <si>
    <t xml:space="preserve">Recommended decision-readiness route</t>
  </si>
  <si>
    <t xml:space="preserve">STOP / RECONCILE</t>
  </si>
  <si>
    <t xml:space="preserve">Recommended — not a decision</t>
  </si>
  <si>
    <t xml:space="preserve">Route priority applied: no reserved-authority failure is present (T4 = 2, NEC-12 PASSED), so the governing condition is a material record conflict at T2 = 0. A score of 0 determines the route irrespective of the total score, so the route is unchanged from Rev 3.0 at STOP / RECONCILE. T3 scores 1 rather than 0 because every configured route and clock control is satisfied or correctly pending-not-due and no Clause 64.1 trigger indication is asserted by the assistant; the three Clause 64.1 matters referred for Project Manager judgement are bounded, owned and dated.</t>
  </si>
  <si>
    <t xml:space="preserve">Awaiting reviewer entry</t>
  </si>
  <si>
    <t xml:space="preserve">Not yet reviewed</t>
  </si>
  <si>
    <t xml:space="preserve">Reviewer to record acceptance, rework, referral or stop.</t>
  </si>
  <si>
    <t xml:space="preserve">Project Manager decision status</t>
  </si>
  <si>
    <t xml:space="preserve">Not yet decided</t>
  </si>
  <si>
    <t xml:space="preserve">CHG-018 Rev 5 records decision_status 'Not yet decided'.</t>
  </si>
  <si>
    <t xml:space="preserve">2026-04-11 — RC-03, Clause 62.3 / 62.6</t>
  </si>
  <si>
    <t xml:space="preserve">Pending — not due at cut-off</t>
  </si>
  <si>
    <t xml:space="preserve">Not overdue at the 2026-03-31 cut-off.</t>
  </si>
  <si>
    <t xml:space="preserve">Review cited evidence and exceptions</t>
  </si>
  <si>
    <t xml:space="preserve">Change_Register.csv / CHG-018 Rev 5.</t>
  </si>
  <si>
    <t xml:space="preserve">Sofia Khan</t>
  </si>
  <si>
    <t xml:space="preserve">Assistant-assigned target.</t>
  </si>
  <si>
    <t xml:space="preserve">Retest history</t>
  </si>
  <si>
    <t xml:space="preserve">No prior retest. This is the first S3 assessment.</t>
  </si>
  <si>
    <t xml:space="preserve">S1 and S2 scores and routes were not carried forward; every score in this pack is assigned from the S3 evidence.</t>
  </si>
  <si>
    <t xml:space="preserve">Close E-01, E-02, E-04, E-05, E-06 and E-08 through actions A-01 to A-06 with the named record owners, then rerun T1, T2 and T3. T4 requires retest only if the requested action changes. Exceptions E-03 and E-07 are reserved to the Project Manager and are not closed by assurance retest.</t>
  </si>
  <si>
    <t xml:space="preserve">Sofia Khan / Elena Brooks</t>
  </si>
  <si>
    <t xml:space="preserve">Conditional on exception closure</t>
  </si>
  <si>
    <t xml:space="preserve">Route is reassessed only after retest.</t>
  </si>
  <si>
    <t xml:space="preserve">Approval</t>
  </si>
  <si>
    <t xml:space="preserve">Not approved. Report status: ISSUED FOR PROJECT MANAGER REVIEW (IFR).</t>
  </si>
  <si>
    <t xml:space="preserve">Not approved</t>
  </si>
  <si>
    <t xml:space="preserve">The assistant does not approve, accept or issue this pack contractually.</t>
  </si>
  <si>
    <t xml:space="preserve">Retained human authority: Elena Brooks, NEC4 Project Manager, retains every contractual decision on CE-018. The assistant prepared cited review material and took no reserved contractual action.</t>
  </si>
  <si>
    <t xml:space="preserve">SOURCE CITATIONS — DETAILED LOCATOR REGISTER</t>
  </si>
  <si>
    <t xml:space="preserve">Filename, record ID, revision and row / activity / WBS / CBS locator for every material finding.</t>
  </si>
  <si>
    <t xml:space="preserve">Revision / status</t>
  </si>
  <si>
    <t xml:space="preserve">Row / activity / WBS / CBS locator</t>
  </si>
  <si>
    <t xml:space="preserve">Evidence purpose</t>
  </si>
  <si>
    <t xml:space="preserve">Where used in this pack</t>
  </si>
  <si>
    <t xml:space="preserve">All 25 rows</t>
  </si>
  <si>
    <t xml:space="preserve">Controls the approved evidence inventory</t>
  </si>
  <si>
    <t xml:space="preserve">Evidence Register; T1; NEC-11</t>
  </si>
  <si>
    <t xml:space="preserve">Permitted Task; Prohibited Actions; Retained Authority</t>
  </si>
  <si>
    <t xml:space="preserve">Assurance method and authority boundary</t>
  </si>
  <si>
    <t xml:space="preserve">T4; NEC-12; Retained Human Authority</t>
  </si>
  <si>
    <t xml:space="preserve">Rows TG, MR, SK, EB, AI</t>
  </si>
  <si>
    <t xml:space="preserve">Named roles and reserved actions</t>
  </si>
  <si>
    <t xml:space="preserve">T4; NEC-12; Evidence and Correspondence Reviewed</t>
  </si>
  <si>
    <t xml:space="preserve">T3; NEC-01, NEC-04, NEC-06, NEC-07; Reconciliation section D</t>
  </si>
  <si>
    <t xml:space="preserve">Scoring rules and critical override</t>
  </si>
  <si>
    <t xml:space="preserve">Four-Test Scorecard; route logic</t>
  </si>
  <si>
    <t xml:space="preserve">Sections 1-11</t>
  </si>
  <si>
    <t xml:space="preserve">Required output structure</t>
  </si>
  <si>
    <t xml:space="preserve">Report and workbook structure</t>
  </si>
  <si>
    <t xml:space="preserve">Configured controls and Clause 64.1 triggers</t>
  </si>
  <si>
    <t xml:space="preserve">NEC4 Control Cross-Reference; Clause 64.1 Triggers</t>
  </si>
  <si>
    <t xml:space="preserve">WSAE.10, WSAE.20.10, WSAE.30.10, WSAE.30.20</t>
  </si>
  <si>
    <t xml:space="preserve">Confirms every crosswalk WBS ID exists</t>
  </si>
  <si>
    <t xml:space="preserve">Crosswalk integrity; T1</t>
  </si>
  <si>
    <t xml:space="preserve">WSAE-C210, C310, C320, C510, C610</t>
  </si>
  <si>
    <t xml:space="preserve">Confirms every crosswalk CBS code exists</t>
  </si>
  <si>
    <t xml:space="preserve">Crosswalk integrity; cost reconciliation</t>
  </si>
  <si>
    <t xml:space="preserve">Reconciliation section B; E-04</t>
  </si>
  <si>
    <t xml:space="preserve">Single data row; assessment_cutoff, commercial_exposure_gbp</t>
  </si>
  <si>
    <t xml:space="preserve">Controlled event facts and cut-off</t>
  </si>
  <si>
    <t xml:space="preserve">Document control; extracted facts; positions table</t>
  </si>
  <si>
    <t xml:space="preserve">Emerging access constraint</t>
  </si>
  <si>
    <t xml:space="preserve">Narrative; NEC-01</t>
  </si>
  <si>
    <t xml:space="preserve">Separate early-warning record</t>
  </si>
  <si>
    <t xml:space="preserve">Narrative; NEC-01; NEC-03</t>
  </si>
  <si>
    <t xml:space="preserve">Narrative; NEC-02</t>
  </si>
  <si>
    <t xml:space="preserve">Narrative; NEC-02; NEC-03</t>
  </si>
  <si>
    <t xml:space="preserve">Narrative; NEC-04; T4</t>
  </si>
  <si>
    <t xml:space="preserve">Submission route and record links</t>
  </si>
  <si>
    <t xml:space="preserve">Narrative; NEC-05, NEC-06, NEC-08, NEC-10</t>
  </si>
  <si>
    <t xml:space="preserve">Data date 2026-02-20; WSAE-A1200, A1300, A1400, M9000</t>
  </si>
  <si>
    <t xml:space="preserve">Reconciliation section A; NEC-02; NEC-11; E-05; E-06</t>
  </si>
  <si>
    <t xml:space="preserve">Data date 2026-03-20; WSAE-A1200, A1300, A1400, M9000</t>
  </si>
  <si>
    <t xml:space="preserve">Actuals and current forecast</t>
  </si>
  <si>
    <t xml:space="preserve">Reconciliation section A; NEC-10; NEC-11; E-05; E-06</t>
  </si>
  <si>
    <t xml:space="preserve">5 rows; WSAE-C210, C310, C320, C510, C610</t>
  </si>
  <si>
    <t xml:space="preserve">Quotation assessment details</t>
  </si>
  <si>
    <t xml:space="preserve">Reconciliation sections B and C; NEC-05; E-01; E-02; E-08</t>
  </si>
  <si>
    <t xml:space="preserve">S3 replacement forecast</t>
  </si>
  <si>
    <t xml:space="preserve">Reconciliation sections B and C; T2; NEC-09; E-01</t>
  </si>
  <si>
    <t xml:space="preserve">Row RISK-044-X; WSAE.20.10 / WSAE-A1200</t>
  </si>
  <si>
    <t xml:space="preserve">S3 replacement risk record</t>
  </si>
  <si>
    <t xml:space="preserve">Reconciliation section C; T2; NEC-09; E-02; E-04</t>
  </si>
  <si>
    <t xml:space="preserve">Row CHG-018; decision_status, due_date</t>
  </si>
  <si>
    <t xml:space="preserve">Status, owner and next action</t>
  </si>
  <si>
    <t xml:space="preserve">Reconciliation section C; NEC-07; Decision and Audit Log</t>
  </si>
  <si>
    <t xml:space="preserve">Every citation above names a registered record. No bare filename is used without its controlled record identifier. Branding PNG assets are not cited because they are formatting assets, not evidence.</t>
  </si>
</sst>
</file>

<file path=xl/styles.xml><?xml version="1.0" encoding="utf-8"?>
<styleSheet xmlns="http://schemas.openxmlformats.org/spreadsheetml/2006/main">
  <numFmts count="4">
    <numFmt numFmtId="164" formatCode="General"/>
    <numFmt numFmtId="165" formatCode="General"/>
    <numFmt numFmtId="166" formatCode="\£#,##0;&quot;(£&quot;#,##0\);\-"/>
    <numFmt numFmtId="167" formatCode="\£#,##0"/>
  </numFmts>
  <fonts count="22">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b val="true"/>
      <sz val="10"/>
      <color rgb="FF25395B"/>
      <name val="Arial"/>
      <family val="0"/>
      <charset val="1"/>
    </font>
    <font>
      <i val="true"/>
      <sz val="9"/>
      <color rgb="FFF36B5D"/>
      <name val="Arial"/>
      <family val="0"/>
      <charset val="1"/>
    </font>
    <font>
      <b val="true"/>
      <sz val="10"/>
      <color rgb="FFFFFFFF"/>
      <name val="Arial"/>
      <family val="0"/>
      <charset val="1"/>
    </font>
    <font>
      <b val="true"/>
      <sz val="9"/>
      <color rgb="FF25395B"/>
      <name val="Arial"/>
      <family val="0"/>
      <charset val="1"/>
    </font>
    <font>
      <sz val="9"/>
      <name val="Arial"/>
      <family val="0"/>
      <charset val="1"/>
    </font>
    <font>
      <b val="true"/>
      <sz val="9"/>
      <color rgb="FFFFFFFF"/>
      <name val="Arial"/>
      <family val="0"/>
      <charset val="1"/>
    </font>
    <font>
      <b val="true"/>
      <sz val="26"/>
      <name val="Arial"/>
      <family val="0"/>
      <charset val="1"/>
    </font>
    <font>
      <b val="true"/>
      <sz val="9"/>
      <name val="Arial"/>
      <family val="0"/>
      <charset val="1"/>
    </font>
    <font>
      <b val="true"/>
      <sz val="10"/>
      <name val="Arial"/>
      <family val="0"/>
      <charset val="1"/>
    </font>
    <font>
      <b val="true"/>
      <sz val="16"/>
      <color rgb="FFF36B5D"/>
      <name val="Arial"/>
      <family val="0"/>
      <charset val="1"/>
    </font>
    <font>
      <i val="true"/>
      <sz val="8"/>
      <name val="Arial"/>
      <family val="0"/>
      <charset val="1"/>
    </font>
    <font>
      <b val="true"/>
      <sz val="10"/>
      <color rgb="FFF36B5D"/>
      <name val="Arial"/>
      <family val="0"/>
      <charset val="1"/>
    </font>
    <font>
      <b val="true"/>
      <sz val="14"/>
      <color rgb="FFFFFFFF"/>
      <name val="Arial"/>
      <family val="0"/>
      <charset val="1"/>
    </font>
    <font>
      <i val="true"/>
      <sz val="9"/>
      <color rgb="FF25395B"/>
      <name val="Arial"/>
      <family val="0"/>
      <charset val="1"/>
    </font>
    <font>
      <i val="true"/>
      <sz val="8"/>
      <color rgb="FFF36B5D"/>
      <name val="Arial"/>
      <family val="0"/>
      <charset val="1"/>
    </font>
    <font>
      <b val="true"/>
      <sz val="12"/>
      <name val="Arial"/>
      <family val="0"/>
      <charset val="1"/>
    </font>
    <font>
      <sz val="9"/>
      <color rgb="FF0000FF"/>
      <name val="Arial"/>
      <family val="0"/>
      <charset val="1"/>
    </font>
  </fonts>
  <fills count="9">
    <fill>
      <patternFill patternType="none"/>
    </fill>
    <fill>
      <patternFill patternType="gray125"/>
    </fill>
    <fill>
      <patternFill patternType="solid">
        <fgColor rgb="FF25395B"/>
        <bgColor rgb="FF003366"/>
      </patternFill>
    </fill>
    <fill>
      <patternFill patternType="solid">
        <fgColor rgb="FFE5F6FB"/>
        <bgColor rgb="FFE3F3E9"/>
      </patternFill>
    </fill>
    <fill>
      <patternFill patternType="solid">
        <fgColor rgb="FF754887"/>
        <bgColor rgb="FF993366"/>
      </patternFill>
    </fill>
    <fill>
      <patternFill patternType="solid">
        <fgColor rgb="FFFDE9E6"/>
        <bgColor rgb="FFFDF1DC"/>
      </patternFill>
    </fill>
    <fill>
      <patternFill patternType="solid">
        <fgColor rgb="FFF1EBF5"/>
        <bgColor rgb="FFFDE9E6"/>
      </patternFill>
    </fill>
    <fill>
      <patternFill patternType="solid">
        <fgColor rgb="FFFFFFCC"/>
        <bgColor rgb="FFFDF1DC"/>
      </patternFill>
    </fill>
    <fill>
      <patternFill patternType="solid">
        <fgColor rgb="FF08A6D4"/>
        <bgColor rgb="FF33CCCC"/>
      </patternFill>
    </fill>
  </fills>
  <borders count="2">
    <border diagonalUp="false" diagonalDown="false">
      <left/>
      <right/>
      <top/>
      <bottom/>
      <diagonal/>
    </border>
    <border diagonalUp="false" diagonalDown="false">
      <left style="thin">
        <color rgb="FFBFC7D4"/>
      </left>
      <right style="thin">
        <color rgb="FFBFC7D4"/>
      </right>
      <top style="thin">
        <color rgb="FFBFC7D4"/>
      </top>
      <bottom style="thin">
        <color rgb="FFBFC7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4" borderId="0" xfId="0" applyFont="true" applyBorder="true" applyAlignment="true" applyProtection="false">
      <alignment horizontal="general" vertical="center" textRotation="0" wrapText="false" indent="1"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4" fillId="5" borderId="0"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7" fillId="2" borderId="0" xfId="0" applyFont="true" applyBorder="true" applyAlignment="true" applyProtection="false">
      <alignment horizontal="left" vertical="center" textRotation="0" wrapText="false" indent="1" shrinkToFit="false"/>
      <protection locked="true" hidden="false"/>
    </xf>
    <xf numFmtId="164" fontId="18" fillId="3" borderId="0" xfId="0" applyFont="true" applyBorder="true" applyAlignment="true" applyProtection="false">
      <alignment horizontal="left" vertical="center" textRotation="0" wrapText="false" indent="1"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8" fillId="6"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true" indent="0" shrinkToFit="false"/>
      <protection locked="true" hidden="false"/>
    </xf>
    <xf numFmtId="167" fontId="9"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7" fontId="9" fillId="5" borderId="1" xfId="0" applyFont="true" applyBorder="tru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general" vertical="bottom"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5" fontId="20" fillId="3" borderId="1" xfId="0" applyFont="true" applyBorder="true" applyAlignment="true" applyProtection="false">
      <alignment horizontal="center" vertical="bottom" textRotation="0" wrapText="fals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21" fillId="7" borderId="1"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4" fontId="8" fillId="5"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true" applyProtection="false">
      <alignment horizontal="general" vertical="center" textRotation="0" wrapText="false" indent="0" shrinkToFit="false"/>
      <protection locked="true" hidden="false"/>
    </xf>
    <xf numFmtId="164" fontId="18" fillId="6" borderId="0" xfId="0" applyFont="true" applyBorder="true" applyAlignment="true" applyProtection="false">
      <alignment horizontal="general" vertical="center" textRotation="0" wrapText="true" indent="0" shrinkToFit="false"/>
      <protection locked="true" hidden="false"/>
    </xf>
    <xf numFmtId="164" fontId="7" fillId="2" borderId="0" xfId="0" applyFont="true" applyBorder="true" applyAlignment="true" applyProtection="false">
      <alignment horizontal="general" vertical="center" textRotation="0" wrapText="false" indent="1"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7" fillId="8"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5" fillId="6"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Arial"/>
        <charset val="1"/>
        <family val="0"/>
        <b val="1"/>
        <color rgb="FF1E7B45"/>
        <sz val="26"/>
      </font>
      <fill>
        <patternFill>
          <bgColor rgb="FFE3F3E9"/>
        </patternFill>
      </fill>
    </dxf>
    <dxf>
      <font>
        <name val="Arial"/>
        <charset val="1"/>
        <family val="0"/>
        <b val="1"/>
        <color rgb="FFB37400"/>
        <sz val="26"/>
      </font>
      <fill>
        <patternFill>
          <bgColor rgb="FFFDF1DC"/>
        </patternFill>
      </fill>
    </dxf>
    <dxf>
      <font>
        <name val="Arial"/>
        <charset val="1"/>
        <family val="0"/>
        <b val="1"/>
        <color rgb="FFF36B5D"/>
        <sz val="26"/>
      </font>
      <fill>
        <patternFill>
          <bgColor rgb="FFFDE9E6"/>
        </patternFill>
      </fill>
    </dxf>
    <dxf>
      <font>
        <name val="Arial"/>
        <charset val="1"/>
        <family val="0"/>
        <b val="1"/>
        <color rgb="FFF36B5D"/>
        <sz val="10"/>
      </font>
      <fill>
        <patternFill>
          <bgColor rgb="FFFDE9E6"/>
        </patternFill>
      </fill>
    </dxf>
    <dxf>
      <fill>
        <patternFill patternType="solid">
          <fgColor rgb="FF25395B"/>
          <bgColor rgb="FF000000"/>
        </patternFill>
      </fill>
    </dxf>
    <dxf>
      <fill>
        <patternFill patternType="solid">
          <fgColor rgb="FFFFFFFF"/>
          <bgColor rgb="FF000000"/>
        </patternFill>
      </fill>
    </dxf>
    <dxf>
      <font>
        <name val="Arial"/>
        <charset val="1"/>
        <family val="0"/>
        <b val="1"/>
        <color rgb="FF1E7B45"/>
        <sz val="9"/>
      </font>
      <fill>
        <patternFill>
          <bgColor rgb="FFE3F3E9"/>
        </patternFill>
      </fill>
    </dxf>
    <dxf>
      <font>
        <name val="Arial"/>
        <charset val="1"/>
        <family val="0"/>
        <b val="1"/>
        <color rgb="FFB37400"/>
        <sz val="9"/>
      </font>
      <fill>
        <patternFill>
          <bgColor rgb="FFFDF1DC"/>
        </patternFill>
      </fill>
    </dxf>
    <dxf>
      <font>
        <name val="Arial"/>
        <charset val="1"/>
        <family val="0"/>
        <b val="1"/>
        <color rgb="FFF36B5D"/>
        <sz val="9"/>
      </font>
      <fill>
        <patternFill>
          <bgColor rgb="FFFDE9E6"/>
        </patternFill>
      </fill>
    </dxf>
    <dxf>
      <font>
        <name val="Arial"/>
        <charset val="1"/>
        <family val="0"/>
        <b val="1"/>
        <color rgb="FF754887"/>
        <sz val="9"/>
      </font>
      <fill>
        <patternFill>
          <bgColor rgb="FFF1EBF5"/>
        </patternFill>
      </fill>
    </dxf>
    <dxf>
      <font>
        <name val="Arial"/>
        <charset val="1"/>
        <family val="0"/>
        <b val="1"/>
        <color rgb="FF25395B"/>
        <sz val="9"/>
      </font>
      <fill>
        <patternFill>
          <bgColor rgb="FFE5F6F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37400"/>
      <rgbColor rgb="FF800080"/>
      <rgbColor rgb="FF1E7B45"/>
      <rgbColor rgb="FFBFC7D4"/>
      <rgbColor rgb="FF808080"/>
      <rgbColor rgb="FF9999FF"/>
      <rgbColor rgb="FF993366"/>
      <rgbColor rgb="FFFFFFCC"/>
      <rgbColor rgb="FFE5F6FB"/>
      <rgbColor rgb="FF660066"/>
      <rgbColor rgb="FFF36B5D"/>
      <rgbColor rgb="FF0066CC"/>
      <rgbColor rgb="FFCCCCFF"/>
      <rgbColor rgb="FF000080"/>
      <rgbColor rgb="FFFF00FF"/>
      <rgbColor rgb="FFFFFF00"/>
      <rgbColor rgb="FF00FFFF"/>
      <rgbColor rgb="FF800080"/>
      <rgbColor rgb="FF800000"/>
      <rgbColor rgb="FF008080"/>
      <rgbColor rgb="FF0000FF"/>
      <rgbColor rgb="FF08A6D4"/>
      <rgbColor rgb="FFE3F3E9"/>
      <rgbColor rgb="FFF1EBF5"/>
      <rgbColor rgb="FFFDF1DC"/>
      <rgbColor rgb="FF99CCFF"/>
      <rgbColor rgb="FFFF99CC"/>
      <rgbColor rgb="FFCC99FF"/>
      <rgbColor rgb="FFFDE9E6"/>
      <rgbColor rgb="FF3366FF"/>
      <rgbColor rgb="FF33CCCC"/>
      <rgbColor rgb="FF99CC00"/>
      <rgbColor rgb="FFFFCC00"/>
      <rgbColor rgb="FFFF9900"/>
      <rgbColor rgb="FFFF6600"/>
      <rgbColor rgb="FF754887"/>
      <rgbColor rgb="FF969696"/>
      <rgbColor rgb="FF003366"/>
      <rgbColor rgb="FF339966"/>
      <rgbColor rgb="FF003300"/>
      <rgbColor rgb="FF333300"/>
      <rgbColor rgb="FF993300"/>
      <rgbColor rgb="FF993366"/>
      <rgbColor rgb="FF333399"/>
      <rgbColor rgb="FF25395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0</xdr:col>
      <xdr:colOff>1638000</xdr:colOff>
      <xdr:row>0</xdr:row>
      <xdr:rowOff>437760</xdr:rowOff>
    </xdr:to>
    <xdr:pic>
      <xdr:nvPicPr>
        <xdr:cNvPr id="0" name="Image 1" descr="Picture"/>
        <xdr:cNvPicPr/>
      </xdr:nvPicPr>
      <xdr:blipFill>
        <a:blip r:embed="rId1"/>
        <a:stretch/>
      </xdr:blipFill>
      <xdr:spPr>
        <a:xfrm>
          <a:off x="0" y="0"/>
          <a:ext cx="1638000" cy="437760"/>
        </a:xfrm>
        <a:prstGeom prst="rect">
          <a:avLst/>
        </a:prstGeom>
        <a:ln w="0">
          <a:noFill/>
        </a:ln>
      </xdr:spPr>
    </xdr:pic>
    <xdr:clientData/>
  </xdr:twoCellAnchor>
  <xdr:twoCellAnchor editAs="oneCell">
    <xdr:from>
      <xdr:col>6</xdr:col>
      <xdr:colOff>0</xdr:colOff>
      <xdr:row>0</xdr:row>
      <xdr:rowOff>0</xdr:rowOff>
    </xdr:from>
    <xdr:to>
      <xdr:col>7</xdr:col>
      <xdr:colOff>521640</xdr:colOff>
      <xdr:row>0</xdr:row>
      <xdr:rowOff>437760</xdr:rowOff>
    </xdr:to>
    <xdr:pic>
      <xdr:nvPicPr>
        <xdr:cNvPr id="1" name="Image 2" descr="Picture"/>
        <xdr:cNvPicPr/>
      </xdr:nvPicPr>
      <xdr:blipFill>
        <a:blip r:embed="rId2"/>
        <a:stretch/>
      </xdr:blipFill>
      <xdr:spPr>
        <a:xfrm>
          <a:off x="8740080" y="0"/>
          <a:ext cx="1790280" cy="437760"/>
        </a:xfrm>
        <a:prstGeom prst="rect">
          <a:avLst/>
        </a:prstGeom>
        <a:ln w="0">
          <a:noFill/>
        </a:ln>
      </xdr:spPr>
    </xdr:pic>
    <xdr:clientData/>
  </xdr:twoCellAnchor>
  <xdr:twoCellAnchor editAs="oneCell">
    <xdr:from>
      <xdr:col>0</xdr:col>
      <xdr:colOff>0</xdr:colOff>
      <xdr:row>4</xdr:row>
      <xdr:rowOff>0</xdr:rowOff>
    </xdr:from>
    <xdr:to>
      <xdr:col>1</xdr:col>
      <xdr:colOff>33840</xdr:colOff>
      <xdr:row>4</xdr:row>
      <xdr:rowOff>285480</xdr:rowOff>
    </xdr:to>
    <xdr:pic>
      <xdr:nvPicPr>
        <xdr:cNvPr id="2" name="Image 3" descr="Picture"/>
        <xdr:cNvPicPr/>
      </xdr:nvPicPr>
      <xdr:blipFill>
        <a:blip r:embed="rId3"/>
        <a:stretch/>
      </xdr:blipFill>
      <xdr:spPr>
        <a:xfrm>
          <a:off x="0" y="1200240"/>
          <a:ext cx="1866600" cy="2854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4" min="3" style="0" width="20"/>
    <col collapsed="false" customWidth="true" hidden="false" outlineLevel="0" max="8" min="5" style="0" width="18"/>
  </cols>
  <sheetData>
    <row r="1" customFormat="false" ht="39.75" hidden="false" customHeight="true" outlineLevel="0" collapsed="false"/>
    <row r="2" customFormat="false" ht="7.5" hidden="false" customHeight="true" outlineLevel="0" collapsed="false"/>
    <row r="3" customFormat="false" ht="27.75" hidden="false" customHeight="true" outlineLevel="0" collapsed="false">
      <c r="A3" s="1" t="s">
        <v>0</v>
      </c>
      <c r="B3" s="1"/>
      <c r="C3" s="1"/>
      <c r="D3" s="1"/>
      <c r="E3" s="1"/>
      <c r="F3" s="1"/>
      <c r="G3" s="1"/>
      <c r="H3" s="1"/>
    </row>
    <row r="4" customFormat="false" ht="19.5" hidden="false" customHeight="true" outlineLevel="0" collapsed="false">
      <c r="A4" s="2" t="s">
        <v>1</v>
      </c>
      <c r="B4" s="2"/>
      <c r="C4" s="2"/>
      <c r="D4" s="2"/>
      <c r="E4" s="2"/>
      <c r="F4" s="2"/>
      <c r="G4" s="2"/>
      <c r="H4" s="2"/>
    </row>
    <row r="5" customFormat="false" ht="25.5" hidden="false" customHeight="true" outlineLevel="0" collapsed="false">
      <c r="D5" s="3" t="s">
        <v>2</v>
      </c>
      <c r="E5" s="3"/>
      <c r="F5" s="3"/>
      <c r="G5" s="3"/>
      <c r="H5" s="3"/>
    </row>
    <row r="7" customFormat="false" ht="18" hidden="false" customHeight="true" outlineLevel="0" collapsed="false">
      <c r="A7" s="4" t="s">
        <v>3</v>
      </c>
      <c r="B7" s="4"/>
      <c r="C7" s="4"/>
      <c r="D7" s="4"/>
      <c r="E7" s="4"/>
      <c r="F7" s="4"/>
      <c r="G7" s="4"/>
      <c r="H7" s="4"/>
    </row>
    <row r="8" customFormat="false" ht="25.5" hidden="false" customHeight="true" outlineLevel="0" collapsed="false">
      <c r="A8" s="5" t="s">
        <v>4</v>
      </c>
      <c r="B8" s="6" t="s">
        <v>5</v>
      </c>
      <c r="C8" s="6"/>
      <c r="D8" s="6"/>
      <c r="E8" s="5" t="s">
        <v>6</v>
      </c>
      <c r="F8" s="6" t="s">
        <v>7</v>
      </c>
      <c r="G8" s="6"/>
      <c r="H8" s="6"/>
    </row>
    <row r="9" customFormat="false" ht="25.5" hidden="false" customHeight="true" outlineLevel="0" collapsed="false">
      <c r="A9" s="5" t="s">
        <v>8</v>
      </c>
      <c r="B9" s="6" t="s">
        <v>9</v>
      </c>
      <c r="C9" s="6"/>
      <c r="D9" s="6"/>
      <c r="E9" s="5" t="s">
        <v>10</v>
      </c>
      <c r="F9" s="6" t="s">
        <v>11</v>
      </c>
      <c r="G9" s="6"/>
      <c r="H9" s="6"/>
    </row>
    <row r="10" customFormat="false" ht="25.5" hidden="false" customHeight="true" outlineLevel="0" collapsed="false">
      <c r="A10" s="5" t="s">
        <v>12</v>
      </c>
      <c r="B10" s="6" t="s">
        <v>13</v>
      </c>
      <c r="C10" s="6"/>
      <c r="D10" s="6"/>
      <c r="E10" s="5" t="s">
        <v>14</v>
      </c>
      <c r="F10" s="6" t="s">
        <v>15</v>
      </c>
      <c r="G10" s="6"/>
      <c r="H10" s="6"/>
    </row>
    <row r="11" customFormat="false" ht="25.5" hidden="false" customHeight="true" outlineLevel="0" collapsed="false">
      <c r="A11" s="5" t="s">
        <v>16</v>
      </c>
      <c r="B11" s="6" t="s">
        <v>17</v>
      </c>
      <c r="C11" s="6"/>
      <c r="D11" s="6"/>
      <c r="E11" s="5" t="s">
        <v>18</v>
      </c>
      <c r="F11" s="6" t="s">
        <v>19</v>
      </c>
      <c r="G11" s="6"/>
      <c r="H11" s="6"/>
    </row>
    <row r="12" customFormat="false" ht="25.5" hidden="false" customHeight="true" outlineLevel="0" collapsed="false">
      <c r="A12" s="5" t="s">
        <v>20</v>
      </c>
      <c r="B12" s="6" t="s">
        <v>21</v>
      </c>
      <c r="C12" s="6"/>
      <c r="D12" s="6"/>
      <c r="E12" s="5" t="s">
        <v>22</v>
      </c>
      <c r="F12" s="6" t="s">
        <v>23</v>
      </c>
      <c r="G12" s="6"/>
      <c r="H12" s="6"/>
    </row>
    <row r="13" customFormat="false" ht="25.5" hidden="false" customHeight="true" outlineLevel="0" collapsed="false">
      <c r="A13" s="5" t="s">
        <v>24</v>
      </c>
      <c r="B13" s="6" t="s">
        <v>25</v>
      </c>
      <c r="C13" s="6"/>
      <c r="D13" s="6"/>
      <c r="E13" s="5" t="s">
        <v>26</v>
      </c>
      <c r="F13" s="6" t="s">
        <v>27</v>
      </c>
      <c r="G13" s="6"/>
      <c r="H13" s="6"/>
    </row>
    <row r="14" customFormat="false" ht="25.5" hidden="false" customHeight="true" outlineLevel="0" collapsed="false">
      <c r="A14" s="5" t="s">
        <v>28</v>
      </c>
      <c r="B14" s="6" t="s">
        <v>29</v>
      </c>
      <c r="C14" s="6"/>
      <c r="D14" s="6"/>
      <c r="E14" s="5" t="s">
        <v>30</v>
      </c>
      <c r="F14" s="6" t="s">
        <v>31</v>
      </c>
      <c r="G14" s="6"/>
      <c r="H14" s="6"/>
    </row>
    <row r="16" customFormat="false" ht="15" hidden="false" customHeight="false" outlineLevel="0" collapsed="false">
      <c r="A16" s="4" t="s">
        <v>32</v>
      </c>
      <c r="B16" s="4"/>
      <c r="C16" s="4"/>
      <c r="D16" s="4"/>
      <c r="E16" s="4"/>
      <c r="F16" s="4"/>
      <c r="G16" s="4"/>
      <c r="H16" s="4"/>
    </row>
    <row r="17" customFormat="false" ht="18" hidden="false" customHeight="true" outlineLevel="0" collapsed="false">
      <c r="A17" s="7" t="s">
        <v>33</v>
      </c>
      <c r="B17" s="7"/>
      <c r="C17" s="7" t="s">
        <v>34</v>
      </c>
      <c r="D17" s="7"/>
      <c r="E17" s="7" t="s">
        <v>35</v>
      </c>
      <c r="F17" s="7"/>
      <c r="G17" s="7" t="s">
        <v>36</v>
      </c>
      <c r="H17" s="7"/>
    </row>
    <row r="18" customFormat="false" ht="33.75" hidden="false" customHeight="true" outlineLevel="0" collapsed="false">
      <c r="A18" s="8" t="n">
        <f aca="false">'Four-Test Scorecard'!C5</f>
        <v>1</v>
      </c>
      <c r="B18" s="8"/>
      <c r="C18" s="8" t="n">
        <f aca="false">'Four-Test Scorecard'!C6</f>
        <v>0</v>
      </c>
      <c r="D18" s="8"/>
      <c r="E18" s="8" t="n">
        <f aca="false">'Four-Test Scorecard'!C7</f>
        <v>1</v>
      </c>
      <c r="F18" s="8"/>
      <c r="G18" s="8" t="n">
        <f aca="false">'Four-Test Scorecard'!C8</f>
        <v>2</v>
      </c>
      <c r="H18" s="8"/>
    </row>
    <row r="19" customFormat="false" ht="15.75" hidden="false" customHeight="true" outlineLevel="0" collapsed="false">
      <c r="A19" s="9" t="str">
        <f aca="false">'Four-Test Scorecard'!D5</f>
        <v>BOUNDED LIMITATION</v>
      </c>
      <c r="B19" s="9"/>
      <c r="C19" s="9" t="str">
        <f aca="false">'Four-Test Scorecard'!D6</f>
        <v>CRITICAL FAILURE</v>
      </c>
      <c r="D19" s="9"/>
      <c r="E19" s="9" t="str">
        <f aca="false">'Four-Test Scorecard'!D7</f>
        <v>BOUNDED LIMITATION</v>
      </c>
      <c r="F19" s="9"/>
      <c r="G19" s="9" t="str">
        <f aca="false">'Four-Test Scorecard'!D8</f>
        <v>PASS</v>
      </c>
      <c r="H19" s="9"/>
    </row>
    <row r="21" customFormat="false" ht="15" hidden="false" customHeight="false" outlineLevel="0" collapsed="false">
      <c r="A21" s="4" t="s">
        <v>37</v>
      </c>
      <c r="B21" s="4"/>
      <c r="C21" s="4"/>
      <c r="D21" s="4"/>
      <c r="E21" s="4"/>
      <c r="F21" s="4"/>
      <c r="G21" s="4"/>
      <c r="H21" s="4"/>
    </row>
    <row r="22" customFormat="false" ht="18" hidden="false" customHeight="true" outlineLevel="0" collapsed="false">
      <c r="A22" s="5" t="s">
        <v>38</v>
      </c>
      <c r="B22" s="10" t="n">
        <f aca="false">SUM('Four-Test Scorecard'!C5:C8)</f>
        <v>4</v>
      </c>
      <c r="C22" s="10"/>
      <c r="E22" s="11" t="s">
        <v>39</v>
      </c>
      <c r="F22" s="11"/>
      <c r="G22" s="11"/>
      <c r="H22" s="11"/>
    </row>
    <row r="23" customFormat="false" ht="18" hidden="false" customHeight="true" outlineLevel="0" collapsed="false">
      <c r="A23" s="5" t="s">
        <v>40</v>
      </c>
      <c r="B23" s="10" t="n">
        <f aca="false">COUNTIF('Four-Test Scorecard'!C5:C8,0)</f>
        <v>1</v>
      </c>
      <c r="C23" s="10"/>
      <c r="E23" s="12" t="str">
        <f aca="false">IF('Four-Test Scorecard'!C8=0,"REFER TO PROJECT MANAGER",IF('Four-Test Scorecard'!C6=0,"STOP / RECONCILE",IF('Four-Test Scorecard'!C5=0,"REWORK EVIDENCE PACK",IF('Four-Test Scorecard'!C7=0,"STOP / ESCALATE",IF(COUNTIF('Four-Test Scorecard'!C5:C8,1)&gt;0,"READY WITH CONDITIONS","READY FOR PROJECT MANAGER REVIEW")))))</f>
        <v>STOP / RECONCILE</v>
      </c>
      <c r="F23" s="12"/>
      <c r="G23" s="12"/>
      <c r="H23" s="12"/>
    </row>
    <row r="24" customFormat="false" ht="18" hidden="false" customHeight="true" outlineLevel="0" collapsed="false">
      <c r="A24" s="5" t="s">
        <v>41</v>
      </c>
      <c r="B24" s="10" t="n">
        <f aca="false">COUNTIF('Exceptions and Actions'!B6:B15,"Critical")</f>
        <v>2</v>
      </c>
      <c r="C24" s="10"/>
      <c r="E24" s="12"/>
      <c r="F24" s="12"/>
      <c r="G24" s="12"/>
      <c r="H24" s="12"/>
    </row>
    <row r="25" customFormat="false" ht="18" hidden="false" customHeight="true" outlineLevel="0" collapsed="false">
      <c r="A25" s="5" t="s">
        <v>42</v>
      </c>
      <c r="B25" s="10" t="n">
        <f aca="false">COUNTA('Exceptions and Actions'!A6,'Exceptions and Actions'!A7,'Exceptions and Actions'!A8,'Exceptions and Actions'!A9,'Exceptions and Actions'!A10,'Exceptions and Actions'!A13,'Exceptions and Actions'!A14,'Exceptions and Actions'!A15)</f>
        <v>8</v>
      </c>
      <c r="C25" s="10"/>
      <c r="E25" s="12"/>
      <c r="F25" s="12"/>
      <c r="G25" s="12"/>
      <c r="H25" s="12"/>
    </row>
    <row r="26" customFormat="false" ht="18" hidden="false" customHeight="true" outlineLevel="0" collapsed="false">
      <c r="A26" s="5" t="s">
        <v>43</v>
      </c>
      <c r="B26" s="10" t="n">
        <f aca="false">COUNTA('NEC4 Control Cross-Reference'!A5:A16)</f>
        <v>12</v>
      </c>
      <c r="C26" s="10"/>
      <c r="E26" s="13" t="s">
        <v>44</v>
      </c>
      <c r="F26" s="13"/>
      <c r="G26" s="13"/>
      <c r="H26" s="13"/>
    </row>
    <row r="27" customFormat="false" ht="18" hidden="false" customHeight="true" outlineLevel="0" collapsed="false">
      <c r="A27" s="5" t="s">
        <v>45</v>
      </c>
      <c r="B27" s="10" t="n">
        <f aca="false">COUNTA('Clause 64.1 Triggers'!A5:A8)</f>
        <v>4</v>
      </c>
      <c r="C27" s="10"/>
      <c r="E27" s="13"/>
      <c r="F27" s="13"/>
      <c r="G27" s="13"/>
      <c r="H27" s="13"/>
    </row>
    <row r="28" customFormat="false" ht="18" hidden="false" customHeight="true" outlineLevel="0" collapsed="false">
      <c r="A28" s="5" t="s">
        <v>46</v>
      </c>
      <c r="B28" s="10" t="n">
        <f aca="false">COUNTIF('Clause 64.1 Triggers'!D5:D8,"TRIGGER_INDICATED")</f>
        <v>0</v>
      </c>
      <c r="C28" s="10"/>
      <c r="E28" s="14" t="str">
        <f aca="false">IF(B23&gt;0,"CRITICAL TEST FAILURES PRESENT: "&amp;B23&amp;"  |  CRITICAL ASSURANCE EXCEPTIONS: "&amp;B24,"NO CRITICAL TEST FAILURE")</f>
        <v>CRITICAL TEST FAILURES PRESENT: 1  |  CRITICAL ASSURANCE EXCEPTIONS: 2</v>
      </c>
      <c r="F28" s="14"/>
      <c r="G28" s="14"/>
      <c r="H28" s="14"/>
    </row>
    <row r="29" customFormat="false" ht="18" hidden="false" customHeight="true" outlineLevel="0" collapsed="false">
      <c r="A29" s="5" t="s">
        <v>47</v>
      </c>
      <c r="B29" s="10" t="n">
        <f aca="false">COUNTA('Evidence Register'!C6:C29)</f>
        <v>23</v>
      </c>
      <c r="C29" s="10"/>
    </row>
    <row r="31" customFormat="false" ht="15" hidden="false" customHeight="false" outlineLevel="0" collapsed="false">
      <c r="A31" s="4" t="s">
        <v>48</v>
      </c>
      <c r="B31" s="4"/>
      <c r="C31" s="4"/>
      <c r="D31" s="4"/>
      <c r="E31" s="4"/>
      <c r="F31" s="4"/>
      <c r="G31" s="4"/>
      <c r="H31" s="4"/>
    </row>
    <row r="32" customFormat="false" ht="30" hidden="false" customHeight="true" outlineLevel="0" collapsed="false">
      <c r="A32" s="15" t="s">
        <v>49</v>
      </c>
      <c r="B32" s="16" t="s">
        <v>50</v>
      </c>
      <c r="C32" s="16"/>
      <c r="D32" s="16"/>
      <c r="E32" s="16"/>
      <c r="F32" s="16"/>
      <c r="G32" s="16"/>
      <c r="H32" s="16"/>
    </row>
    <row r="33" customFormat="false" ht="30" hidden="false" customHeight="true" outlineLevel="0" collapsed="false">
      <c r="A33" s="15" t="s">
        <v>51</v>
      </c>
      <c r="B33" s="16" t="s">
        <v>52</v>
      </c>
      <c r="C33" s="16"/>
      <c r="D33" s="16"/>
      <c r="E33" s="16"/>
      <c r="F33" s="16"/>
      <c r="G33" s="16"/>
      <c r="H33" s="16"/>
    </row>
    <row r="34" customFormat="false" ht="30" hidden="false" customHeight="true" outlineLevel="0" collapsed="false">
      <c r="A34" s="15" t="s">
        <v>53</v>
      </c>
      <c r="B34" s="16" t="s">
        <v>54</v>
      </c>
      <c r="C34" s="16"/>
      <c r="D34" s="16"/>
      <c r="E34" s="16"/>
      <c r="F34" s="16"/>
      <c r="G34" s="16"/>
      <c r="H34" s="16"/>
    </row>
    <row r="35" customFormat="false" ht="30" hidden="false" customHeight="true" outlineLevel="0" collapsed="false">
      <c r="A35" s="15" t="s">
        <v>55</v>
      </c>
      <c r="B35" s="16" t="s">
        <v>56</v>
      </c>
      <c r="C35" s="16"/>
      <c r="D35" s="16"/>
      <c r="E35" s="16"/>
      <c r="F35" s="16"/>
      <c r="G35" s="16"/>
      <c r="H35" s="16"/>
    </row>
    <row r="36" customFormat="false" ht="30" hidden="false" customHeight="true" outlineLevel="0" collapsed="false">
      <c r="A36" s="15" t="s">
        <v>57</v>
      </c>
      <c r="B36" s="16" t="s">
        <v>58</v>
      </c>
      <c r="C36" s="16"/>
      <c r="D36" s="16"/>
      <c r="E36" s="16"/>
      <c r="F36" s="16"/>
      <c r="G36" s="16"/>
      <c r="H36" s="16"/>
    </row>
    <row r="37" customFormat="false" ht="30" hidden="false" customHeight="true" outlineLevel="0" collapsed="false">
      <c r="A37" s="15" t="s">
        <v>59</v>
      </c>
      <c r="B37" s="16" t="s">
        <v>60</v>
      </c>
      <c r="C37" s="16"/>
      <c r="D37" s="16"/>
      <c r="E37" s="16"/>
      <c r="F37" s="16"/>
      <c r="G37" s="16"/>
      <c r="H37" s="16"/>
    </row>
    <row r="38" customFormat="false" ht="30" hidden="false" customHeight="true" outlineLevel="0" collapsed="false">
      <c r="A38" s="15" t="s">
        <v>61</v>
      </c>
      <c r="B38" s="16" t="s">
        <v>62</v>
      </c>
      <c r="C38" s="16"/>
      <c r="D38" s="16"/>
      <c r="E38" s="16"/>
      <c r="F38" s="16"/>
      <c r="G38" s="16"/>
      <c r="H38" s="16"/>
    </row>
    <row r="39" customFormat="false" ht="30" hidden="false" customHeight="true" outlineLevel="0" collapsed="false">
      <c r="A39" s="15" t="s">
        <v>24</v>
      </c>
      <c r="B39" s="16" t="s">
        <v>25</v>
      </c>
      <c r="C39" s="16"/>
      <c r="D39" s="16"/>
      <c r="E39" s="16"/>
      <c r="F39" s="16"/>
      <c r="G39" s="16"/>
      <c r="H39" s="16"/>
    </row>
    <row r="40" customFormat="false" ht="30" hidden="false" customHeight="true" outlineLevel="0" collapsed="false">
      <c r="A40" s="15" t="s">
        <v>63</v>
      </c>
      <c r="B40" s="16" t="s">
        <v>64</v>
      </c>
      <c r="C40" s="16"/>
      <c r="D40" s="16"/>
      <c r="E40" s="16"/>
      <c r="F40" s="16"/>
      <c r="G40" s="16"/>
      <c r="H40" s="16"/>
    </row>
    <row r="41" customFormat="false" ht="30" hidden="false" customHeight="true" outlineLevel="0" collapsed="false">
      <c r="A41" s="15" t="s">
        <v>65</v>
      </c>
      <c r="B41" s="16" t="s">
        <v>66</v>
      </c>
      <c r="C41" s="16"/>
      <c r="D41" s="16"/>
      <c r="E41" s="16"/>
      <c r="F41" s="16"/>
      <c r="G41" s="16"/>
      <c r="H41" s="16"/>
    </row>
    <row r="42" customFormat="false" ht="30" hidden="false" customHeight="true" outlineLevel="0" collapsed="false">
      <c r="A42" s="15" t="s">
        <v>67</v>
      </c>
      <c r="B42" s="16" t="s">
        <v>68</v>
      </c>
      <c r="C42" s="16"/>
      <c r="D42" s="16"/>
      <c r="E42" s="16"/>
      <c r="F42" s="16"/>
      <c r="G42" s="16"/>
      <c r="H42" s="16"/>
    </row>
    <row r="43" customFormat="false" ht="30" hidden="false" customHeight="true" outlineLevel="0" collapsed="false">
      <c r="A43" s="15" t="s">
        <v>69</v>
      </c>
      <c r="B43" s="16" t="s">
        <v>70</v>
      </c>
      <c r="C43" s="16"/>
      <c r="D43" s="16"/>
      <c r="E43" s="16"/>
      <c r="F43" s="16"/>
      <c r="G43" s="16"/>
      <c r="H43" s="16"/>
    </row>
    <row r="44" customFormat="false" ht="30" hidden="false" customHeight="true" outlineLevel="0" collapsed="false">
      <c r="A44" s="15" t="s">
        <v>71</v>
      </c>
      <c r="B44" s="16" t="s">
        <v>72</v>
      </c>
      <c r="C44" s="16"/>
      <c r="D44" s="16"/>
      <c r="E44" s="16"/>
      <c r="F44" s="16"/>
      <c r="G44" s="16"/>
      <c r="H44" s="16"/>
    </row>
  </sheetData>
  <mergeCells count="58">
    <mergeCell ref="A3:H3"/>
    <mergeCell ref="A4:H4"/>
    <mergeCell ref="D5:H5"/>
    <mergeCell ref="A7:H7"/>
    <mergeCell ref="B8:D8"/>
    <mergeCell ref="F8:H8"/>
    <mergeCell ref="B9:D9"/>
    <mergeCell ref="F9:H9"/>
    <mergeCell ref="B10:D10"/>
    <mergeCell ref="F10:H10"/>
    <mergeCell ref="B11:D11"/>
    <mergeCell ref="F11:H11"/>
    <mergeCell ref="B12:D12"/>
    <mergeCell ref="F12:H12"/>
    <mergeCell ref="B13:D13"/>
    <mergeCell ref="F13:H13"/>
    <mergeCell ref="B14:D14"/>
    <mergeCell ref="F14:H14"/>
    <mergeCell ref="A16:H16"/>
    <mergeCell ref="A17:B17"/>
    <mergeCell ref="C17:D17"/>
    <mergeCell ref="E17:F17"/>
    <mergeCell ref="G17:H17"/>
    <mergeCell ref="A18:B18"/>
    <mergeCell ref="C18:D18"/>
    <mergeCell ref="E18:F18"/>
    <mergeCell ref="G18:H18"/>
    <mergeCell ref="A19:B19"/>
    <mergeCell ref="C19:D19"/>
    <mergeCell ref="E19:F19"/>
    <mergeCell ref="G19:H19"/>
    <mergeCell ref="A21:H21"/>
    <mergeCell ref="B22:C22"/>
    <mergeCell ref="E22:H22"/>
    <mergeCell ref="B23:C23"/>
    <mergeCell ref="E23:H25"/>
    <mergeCell ref="B24:C24"/>
    <mergeCell ref="B25:C25"/>
    <mergeCell ref="B26:C26"/>
    <mergeCell ref="E26:H27"/>
    <mergeCell ref="B27:C27"/>
    <mergeCell ref="B28:C28"/>
    <mergeCell ref="E28:H28"/>
    <mergeCell ref="B29:C29"/>
    <mergeCell ref="A31:H31"/>
    <mergeCell ref="B32:H32"/>
    <mergeCell ref="B33:H33"/>
    <mergeCell ref="B34:H34"/>
    <mergeCell ref="B35:H35"/>
    <mergeCell ref="B36:H36"/>
    <mergeCell ref="B37:H37"/>
    <mergeCell ref="B38:H38"/>
    <mergeCell ref="B39:H39"/>
    <mergeCell ref="B40:H40"/>
    <mergeCell ref="B41:H41"/>
    <mergeCell ref="B42:H42"/>
    <mergeCell ref="B43:H43"/>
    <mergeCell ref="B44:H44"/>
  </mergeCells>
  <conditionalFormatting sqref="A18">
    <cfRule type="cellIs" priority="2" operator="equal" aboveAverage="0" equalAverage="0" bottom="0" percent="0" rank="0" text="" dxfId="0">
      <formula>2</formula>
    </cfRule>
    <cfRule type="cellIs" priority="3" operator="equal" aboveAverage="0" equalAverage="0" bottom="0" percent="0" rank="0" text="" dxfId="1">
      <formula>1</formula>
    </cfRule>
    <cfRule type="cellIs" priority="4" operator="equal" aboveAverage="0" equalAverage="0" bottom="0" percent="0" rank="0" text="" dxfId="2">
      <formula>0</formula>
    </cfRule>
  </conditionalFormatting>
  <conditionalFormatting sqref="C18">
    <cfRule type="cellIs" priority="5" operator="equal" aboveAverage="0" equalAverage="0" bottom="0" percent="0" rank="0" text="" dxfId="0">
      <formula>2</formula>
    </cfRule>
    <cfRule type="cellIs" priority="6" operator="equal" aboveAverage="0" equalAverage="0" bottom="0" percent="0" rank="0" text="" dxfId="1">
      <formula>1</formula>
    </cfRule>
    <cfRule type="cellIs" priority="7" operator="equal" aboveAverage="0" equalAverage="0" bottom="0" percent="0" rank="0" text="" dxfId="2">
      <formula>0</formula>
    </cfRule>
  </conditionalFormatting>
  <conditionalFormatting sqref="E18">
    <cfRule type="cellIs" priority="8" operator="equal" aboveAverage="0" equalAverage="0" bottom="0" percent="0" rank="0" text="" dxfId="0">
      <formula>2</formula>
    </cfRule>
    <cfRule type="cellIs" priority="9" operator="equal" aboveAverage="0" equalAverage="0" bottom="0" percent="0" rank="0" text="" dxfId="1">
      <formula>1</formula>
    </cfRule>
    <cfRule type="cellIs" priority="10" operator="equal" aboveAverage="0" equalAverage="0" bottom="0" percent="0" rank="0" text="" dxfId="2">
      <formula>0</formula>
    </cfRule>
  </conditionalFormatting>
  <conditionalFormatting sqref="G18">
    <cfRule type="cellIs" priority="11" operator="equal" aboveAverage="0" equalAverage="0" bottom="0" percent="0" rank="0" text="" dxfId="0">
      <formula>2</formula>
    </cfRule>
    <cfRule type="cellIs" priority="12" operator="equal" aboveAverage="0" equalAverage="0" bottom="0" percent="0" rank="0" text="" dxfId="1">
      <formula>1</formula>
    </cfRule>
    <cfRule type="cellIs" priority="13" operator="equal" aboveAverage="0" equalAverage="0" bottom="0" percent="0" rank="0" text="" dxfId="2">
      <formula>0</formula>
    </cfRule>
  </conditionalFormatting>
  <conditionalFormatting sqref="B23">
    <cfRule type="cellIs" priority="14" operator="greaterThan" aboveAverage="0" equalAverage="0" bottom="0" percent="0" rank="0" text="" dxfId="3">
      <formula>0</formula>
    </cfRule>
  </conditionalFormatting>
  <conditionalFormatting sqref="B24">
    <cfRule type="cellIs" priority="15" operator="greater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18"/>
    <col collapsed="false" customWidth="true" hidden="false" outlineLevel="0" max="5" min="4" style="0" width="26"/>
    <col collapsed="false" customWidth="true" hidden="false" outlineLevel="0" max="6" min="6" style="0" width="24"/>
    <col collapsed="false" customWidth="true" hidden="false" outlineLevel="0" max="7" min="7" style="0" width="40"/>
    <col collapsed="false" customWidth="true" hidden="false" outlineLevel="0" max="8" min="8" style="0" width="34"/>
  </cols>
  <sheetData>
    <row r="1" customFormat="false" ht="25.5" hidden="false" customHeight="true" outlineLevel="0" collapsed="false">
      <c r="A1" s="17" t="s">
        <v>73</v>
      </c>
      <c r="B1" s="17"/>
      <c r="C1" s="17"/>
      <c r="D1" s="17"/>
      <c r="E1" s="17"/>
      <c r="F1" s="17"/>
      <c r="G1" s="17"/>
      <c r="H1" s="17"/>
    </row>
    <row r="2" customFormat="false" ht="18" hidden="false" customHeight="true" outlineLevel="0" collapsed="false">
      <c r="A2" s="18" t="s">
        <v>74</v>
      </c>
      <c r="B2" s="18"/>
      <c r="C2" s="18"/>
      <c r="D2" s="18"/>
      <c r="E2" s="18"/>
      <c r="F2" s="18"/>
      <c r="G2" s="18"/>
      <c r="H2" s="18"/>
    </row>
    <row r="4" customFormat="false" ht="30" hidden="false" customHeight="true" outlineLevel="0" collapsed="false">
      <c r="A4" s="19" t="s">
        <v>75</v>
      </c>
      <c r="B4" s="19" t="s">
        <v>76</v>
      </c>
      <c r="C4" s="19" t="s">
        <v>77</v>
      </c>
      <c r="D4" s="19" t="s">
        <v>78</v>
      </c>
      <c r="E4" s="19" t="s">
        <v>79</v>
      </c>
      <c r="F4" s="19" t="s">
        <v>80</v>
      </c>
      <c r="G4" s="19" t="s">
        <v>81</v>
      </c>
      <c r="H4" s="19" t="s">
        <v>82</v>
      </c>
    </row>
    <row r="5" customFormat="false" ht="15" hidden="false" customHeight="false" outlineLevel="0" collapsed="false">
      <c r="A5" s="20" t="s">
        <v>83</v>
      </c>
      <c r="B5" s="20"/>
      <c r="C5" s="20"/>
      <c r="D5" s="20"/>
      <c r="E5" s="20"/>
      <c r="F5" s="20"/>
      <c r="G5" s="20"/>
      <c r="H5" s="20"/>
    </row>
    <row r="6" customFormat="false" ht="15" hidden="false" customHeight="false" outlineLevel="0" collapsed="false">
      <c r="A6" s="16" t="s">
        <v>84</v>
      </c>
      <c r="B6" s="16" t="s">
        <v>85</v>
      </c>
      <c r="C6" s="16" t="s">
        <v>86</v>
      </c>
      <c r="D6" s="16" t="s">
        <v>87</v>
      </c>
      <c r="E6" s="16" t="s">
        <v>88</v>
      </c>
      <c r="F6" s="16" t="s">
        <v>89</v>
      </c>
      <c r="G6" s="16" t="s">
        <v>90</v>
      </c>
      <c r="H6" s="16" t="s">
        <v>91</v>
      </c>
    </row>
    <row r="7" customFormat="false" ht="22.35" hidden="false" customHeight="false" outlineLevel="0" collapsed="false">
      <c r="A7" s="16" t="s">
        <v>84</v>
      </c>
      <c r="B7" s="16" t="s">
        <v>92</v>
      </c>
      <c r="C7" s="16" t="s">
        <v>93</v>
      </c>
      <c r="D7" s="16" t="s">
        <v>94</v>
      </c>
      <c r="E7" s="16" t="s">
        <v>88</v>
      </c>
      <c r="F7" s="16" t="s">
        <v>89</v>
      </c>
      <c r="G7" s="16" t="s">
        <v>95</v>
      </c>
      <c r="H7" s="16" t="s">
        <v>96</v>
      </c>
    </row>
    <row r="8" customFormat="false" ht="15" hidden="false" customHeight="false" outlineLevel="0" collapsed="false">
      <c r="A8" s="16" t="s">
        <v>84</v>
      </c>
      <c r="B8" s="16" t="s">
        <v>97</v>
      </c>
      <c r="C8" s="16" t="s">
        <v>98</v>
      </c>
      <c r="D8" s="16" t="s">
        <v>99</v>
      </c>
      <c r="E8" s="16" t="s">
        <v>100</v>
      </c>
      <c r="F8" s="16" t="s">
        <v>89</v>
      </c>
      <c r="G8" s="16" t="s">
        <v>101</v>
      </c>
      <c r="H8" s="16" t="s">
        <v>102</v>
      </c>
    </row>
    <row r="9" customFormat="false" ht="15" hidden="false" customHeight="false" outlineLevel="0" collapsed="false">
      <c r="A9" s="16" t="s">
        <v>84</v>
      </c>
      <c r="B9" s="16" t="s">
        <v>103</v>
      </c>
      <c r="C9" s="16" t="s">
        <v>104</v>
      </c>
      <c r="D9" s="16" t="s">
        <v>105</v>
      </c>
      <c r="E9" s="16" t="s">
        <v>88</v>
      </c>
      <c r="F9" s="16" t="s">
        <v>106</v>
      </c>
      <c r="G9" s="16" t="s">
        <v>107</v>
      </c>
      <c r="H9" s="16" t="s">
        <v>108</v>
      </c>
    </row>
    <row r="10" customFormat="false" ht="15" hidden="false" customHeight="false" outlineLevel="0" collapsed="false">
      <c r="A10" s="16" t="s">
        <v>84</v>
      </c>
      <c r="B10" s="16" t="s">
        <v>109</v>
      </c>
      <c r="C10" s="16" t="s">
        <v>110</v>
      </c>
      <c r="D10" s="16" t="s">
        <v>111</v>
      </c>
      <c r="E10" s="16" t="s">
        <v>88</v>
      </c>
      <c r="F10" s="16" t="s">
        <v>89</v>
      </c>
      <c r="G10" s="16" t="s">
        <v>112</v>
      </c>
      <c r="H10" s="16" t="s">
        <v>113</v>
      </c>
    </row>
    <row r="11" customFormat="false" ht="15" hidden="false" customHeight="false" outlineLevel="0" collapsed="false">
      <c r="A11" s="16" t="s">
        <v>84</v>
      </c>
      <c r="B11" s="16" t="s">
        <v>114</v>
      </c>
      <c r="C11" s="16" t="s">
        <v>115</v>
      </c>
      <c r="D11" s="16" t="s">
        <v>116</v>
      </c>
      <c r="E11" s="16" t="s">
        <v>88</v>
      </c>
      <c r="F11" s="16" t="s">
        <v>89</v>
      </c>
      <c r="G11" s="16" t="s">
        <v>117</v>
      </c>
      <c r="H11" s="16" t="s">
        <v>118</v>
      </c>
    </row>
    <row r="12" customFormat="false" ht="22.35" hidden="false" customHeight="false" outlineLevel="0" collapsed="false">
      <c r="A12" s="16" t="s">
        <v>84</v>
      </c>
      <c r="B12" s="16" t="s">
        <v>119</v>
      </c>
      <c r="C12" s="16" t="s">
        <v>120</v>
      </c>
      <c r="D12" s="16" t="s">
        <v>121</v>
      </c>
      <c r="E12" s="16" t="s">
        <v>122</v>
      </c>
      <c r="F12" s="16" t="s">
        <v>106</v>
      </c>
      <c r="G12" s="16" t="s">
        <v>123</v>
      </c>
      <c r="H12" s="16" t="s">
        <v>124</v>
      </c>
    </row>
    <row r="13" customFormat="false" ht="22.35" hidden="false" customHeight="false" outlineLevel="0" collapsed="false">
      <c r="A13" s="16" t="s">
        <v>84</v>
      </c>
      <c r="B13" s="16" t="s">
        <v>125</v>
      </c>
      <c r="C13" s="16" t="s">
        <v>126</v>
      </c>
      <c r="D13" s="16" t="s">
        <v>127</v>
      </c>
      <c r="E13" s="16" t="s">
        <v>122</v>
      </c>
      <c r="F13" s="16" t="s">
        <v>128</v>
      </c>
      <c r="G13" s="16" t="s">
        <v>129</v>
      </c>
      <c r="H13" s="16" t="s">
        <v>130</v>
      </c>
    </row>
    <row r="14" customFormat="false" ht="22.35" hidden="false" customHeight="false" outlineLevel="0" collapsed="false">
      <c r="A14" s="16" t="s">
        <v>84</v>
      </c>
      <c r="B14" s="16" t="s">
        <v>131</v>
      </c>
      <c r="C14" s="16" t="s">
        <v>132</v>
      </c>
      <c r="D14" s="16" t="s">
        <v>133</v>
      </c>
      <c r="E14" s="16" t="s">
        <v>122</v>
      </c>
      <c r="F14" s="16" t="s">
        <v>134</v>
      </c>
      <c r="G14" s="16" t="s">
        <v>135</v>
      </c>
      <c r="H14" s="16" t="s">
        <v>136</v>
      </c>
    </row>
    <row r="15" customFormat="false" ht="15" hidden="false" customHeight="false" outlineLevel="0" collapsed="false">
      <c r="A15" s="16" t="s">
        <v>84</v>
      </c>
      <c r="B15" s="16" t="s">
        <v>137</v>
      </c>
      <c r="C15" s="16" t="s">
        <v>138</v>
      </c>
      <c r="D15" s="16" t="s">
        <v>139</v>
      </c>
      <c r="E15" s="16" t="s">
        <v>122</v>
      </c>
      <c r="F15" s="16" t="s">
        <v>89</v>
      </c>
      <c r="G15" s="16" t="s">
        <v>140</v>
      </c>
      <c r="H15" s="16" t="s">
        <v>141</v>
      </c>
    </row>
    <row r="16" customFormat="false" ht="15" hidden="false" customHeight="false" outlineLevel="0" collapsed="false">
      <c r="A16" s="16" t="s">
        <v>84</v>
      </c>
      <c r="B16" s="16" t="s">
        <v>142</v>
      </c>
      <c r="C16" s="16" t="s">
        <v>143</v>
      </c>
      <c r="D16" s="16" t="s">
        <v>144</v>
      </c>
      <c r="E16" s="16" t="s">
        <v>145</v>
      </c>
      <c r="F16" s="16" t="s">
        <v>89</v>
      </c>
      <c r="G16" s="16" t="s">
        <v>146</v>
      </c>
      <c r="H16" s="16" t="s">
        <v>147</v>
      </c>
    </row>
    <row r="17" customFormat="false" ht="15" hidden="false" customHeight="false" outlineLevel="0" collapsed="false">
      <c r="A17" s="20" t="s">
        <v>148</v>
      </c>
      <c r="B17" s="20"/>
      <c r="C17" s="20"/>
      <c r="D17" s="20"/>
      <c r="E17" s="20"/>
      <c r="F17" s="20"/>
      <c r="G17" s="20"/>
      <c r="H17" s="20"/>
    </row>
    <row r="18" customFormat="false" ht="15" hidden="false" customHeight="false" outlineLevel="0" collapsed="false">
      <c r="A18" s="16" t="s">
        <v>84</v>
      </c>
      <c r="B18" s="16" t="s">
        <v>149</v>
      </c>
      <c r="C18" s="16" t="s">
        <v>150</v>
      </c>
      <c r="D18" s="16" t="s">
        <v>151</v>
      </c>
      <c r="E18" s="16" t="s">
        <v>122</v>
      </c>
      <c r="F18" s="16" t="s">
        <v>152</v>
      </c>
      <c r="G18" s="16" t="s">
        <v>153</v>
      </c>
      <c r="H18" s="16" t="s">
        <v>154</v>
      </c>
    </row>
    <row r="19" customFormat="false" ht="22.35" hidden="false" customHeight="false" outlineLevel="0" collapsed="false">
      <c r="A19" s="16" t="s">
        <v>84</v>
      </c>
      <c r="B19" s="16" t="s">
        <v>155</v>
      </c>
      <c r="C19" s="16" t="s">
        <v>156</v>
      </c>
      <c r="D19" s="16" t="s">
        <v>157</v>
      </c>
      <c r="E19" s="16" t="s">
        <v>122</v>
      </c>
      <c r="F19" s="16" t="s">
        <v>158</v>
      </c>
      <c r="G19" s="16" t="s">
        <v>159</v>
      </c>
      <c r="H19" s="16" t="s">
        <v>160</v>
      </c>
    </row>
    <row r="20" customFormat="false" ht="15" hidden="false" customHeight="false" outlineLevel="0" collapsed="false">
      <c r="A20" s="16" t="s">
        <v>84</v>
      </c>
      <c r="B20" s="16" t="s">
        <v>161</v>
      </c>
      <c r="C20" s="16" t="s">
        <v>162</v>
      </c>
      <c r="D20" s="16" t="s">
        <v>163</v>
      </c>
      <c r="E20" s="16" t="s">
        <v>122</v>
      </c>
      <c r="F20" s="16" t="s">
        <v>152</v>
      </c>
      <c r="G20" s="16" t="s">
        <v>164</v>
      </c>
      <c r="H20" s="16" t="s">
        <v>165</v>
      </c>
    </row>
    <row r="21" customFormat="false" ht="15" hidden="false" customHeight="false" outlineLevel="0" collapsed="false">
      <c r="A21" s="16" t="s">
        <v>84</v>
      </c>
      <c r="B21" s="16" t="s">
        <v>166</v>
      </c>
      <c r="C21" s="16" t="s">
        <v>167</v>
      </c>
      <c r="D21" s="16" t="s">
        <v>168</v>
      </c>
      <c r="E21" s="16" t="s">
        <v>122</v>
      </c>
      <c r="F21" s="16" t="s">
        <v>158</v>
      </c>
      <c r="G21" s="16" t="s">
        <v>169</v>
      </c>
      <c r="H21" s="16" t="s">
        <v>170</v>
      </c>
    </row>
    <row r="22" customFormat="false" ht="15" hidden="false" customHeight="false" outlineLevel="0" collapsed="false">
      <c r="A22" s="16" t="s">
        <v>84</v>
      </c>
      <c r="B22" s="16" t="s">
        <v>171</v>
      </c>
      <c r="C22" s="16" t="s">
        <v>172</v>
      </c>
      <c r="D22" s="16" t="s">
        <v>173</v>
      </c>
      <c r="E22" s="16" t="s">
        <v>122</v>
      </c>
      <c r="F22" s="16" t="s">
        <v>174</v>
      </c>
      <c r="G22" s="16" t="s">
        <v>175</v>
      </c>
      <c r="H22" s="16" t="s">
        <v>176</v>
      </c>
    </row>
    <row r="23" customFormat="false" ht="22.35" hidden="false" customHeight="false" outlineLevel="0" collapsed="false">
      <c r="A23" s="16" t="s">
        <v>84</v>
      </c>
      <c r="B23" s="16" t="s">
        <v>177</v>
      </c>
      <c r="C23" s="16" t="s">
        <v>178</v>
      </c>
      <c r="D23" s="16" t="s">
        <v>179</v>
      </c>
      <c r="E23" s="16" t="s">
        <v>122</v>
      </c>
      <c r="F23" s="16" t="s">
        <v>158</v>
      </c>
      <c r="G23" s="16" t="s">
        <v>180</v>
      </c>
      <c r="H23" s="16" t="s">
        <v>181</v>
      </c>
    </row>
    <row r="24" customFormat="false" ht="15" hidden="false" customHeight="false" outlineLevel="0" collapsed="false">
      <c r="A24" s="16" t="s">
        <v>84</v>
      </c>
      <c r="B24" s="16" t="s">
        <v>182</v>
      </c>
      <c r="C24" s="16" t="s">
        <v>183</v>
      </c>
      <c r="D24" s="16" t="s">
        <v>184</v>
      </c>
      <c r="E24" s="16" t="s">
        <v>185</v>
      </c>
      <c r="F24" s="16" t="s">
        <v>128</v>
      </c>
      <c r="G24" s="16" t="s">
        <v>186</v>
      </c>
      <c r="H24" s="16" t="s">
        <v>187</v>
      </c>
    </row>
    <row r="25" customFormat="false" ht="15" hidden="false" customHeight="false" outlineLevel="0" collapsed="false">
      <c r="A25" s="16" t="s">
        <v>84</v>
      </c>
      <c r="B25" s="16" t="s">
        <v>188</v>
      </c>
      <c r="C25" s="16" t="s">
        <v>189</v>
      </c>
      <c r="D25" s="16" t="s">
        <v>190</v>
      </c>
      <c r="E25" s="16" t="s">
        <v>191</v>
      </c>
      <c r="F25" s="16" t="s">
        <v>128</v>
      </c>
      <c r="G25" s="16" t="s">
        <v>192</v>
      </c>
      <c r="H25" s="16" t="s">
        <v>193</v>
      </c>
    </row>
    <row r="26" customFormat="false" ht="22.35" hidden="false" customHeight="false" outlineLevel="0" collapsed="false">
      <c r="A26" s="16" t="s">
        <v>84</v>
      </c>
      <c r="B26" s="16" t="s">
        <v>194</v>
      </c>
      <c r="C26" s="16" t="s">
        <v>195</v>
      </c>
      <c r="D26" s="16" t="s">
        <v>196</v>
      </c>
      <c r="E26" s="16" t="s">
        <v>197</v>
      </c>
      <c r="F26" s="16" t="s">
        <v>198</v>
      </c>
      <c r="G26" s="16" t="s">
        <v>199</v>
      </c>
      <c r="H26" s="16" t="s">
        <v>200</v>
      </c>
    </row>
    <row r="27" customFormat="false" ht="22.35" hidden="false" customHeight="false" outlineLevel="0" collapsed="false">
      <c r="A27" s="16" t="s">
        <v>84</v>
      </c>
      <c r="B27" s="16" t="s">
        <v>201</v>
      </c>
      <c r="C27" s="16" t="s">
        <v>202</v>
      </c>
      <c r="D27" s="16" t="s">
        <v>203</v>
      </c>
      <c r="E27" s="16" t="s">
        <v>204</v>
      </c>
      <c r="F27" s="16" t="s">
        <v>89</v>
      </c>
      <c r="G27" s="16" t="s">
        <v>205</v>
      </c>
      <c r="H27" s="16" t="s">
        <v>206</v>
      </c>
    </row>
    <row r="28" customFormat="false" ht="22.35" hidden="false" customHeight="false" outlineLevel="0" collapsed="false">
      <c r="A28" s="16" t="s">
        <v>84</v>
      </c>
      <c r="B28" s="16" t="s">
        <v>207</v>
      </c>
      <c r="C28" s="16" t="s">
        <v>208</v>
      </c>
      <c r="D28" s="16" t="s">
        <v>209</v>
      </c>
      <c r="E28" s="16" t="s">
        <v>210</v>
      </c>
      <c r="F28" s="16" t="s">
        <v>211</v>
      </c>
      <c r="G28" s="16" t="s">
        <v>212</v>
      </c>
      <c r="H28" s="16" t="s">
        <v>213</v>
      </c>
    </row>
    <row r="29" customFormat="false" ht="15" hidden="false" customHeight="false" outlineLevel="0" collapsed="false">
      <c r="A29" s="16" t="s">
        <v>84</v>
      </c>
      <c r="B29" s="16" t="s">
        <v>214</v>
      </c>
      <c r="C29" s="16" t="s">
        <v>215</v>
      </c>
      <c r="D29" s="16" t="s">
        <v>216</v>
      </c>
      <c r="E29" s="16" t="s">
        <v>217</v>
      </c>
      <c r="F29" s="16" t="s">
        <v>218</v>
      </c>
      <c r="G29" s="16" t="s">
        <v>219</v>
      </c>
      <c r="H29" s="16" t="s">
        <v>220</v>
      </c>
    </row>
    <row r="30" customFormat="false" ht="15" hidden="false" customHeight="false" outlineLevel="0" collapsed="false">
      <c r="A30" s="20" t="s">
        <v>221</v>
      </c>
      <c r="B30" s="20"/>
      <c r="C30" s="20"/>
      <c r="D30" s="20"/>
      <c r="E30" s="20"/>
      <c r="F30" s="20"/>
      <c r="G30" s="20"/>
      <c r="H30" s="20"/>
    </row>
    <row r="31" customFormat="false" ht="22.35" hidden="false" customHeight="false" outlineLevel="0" collapsed="false">
      <c r="A31" s="16" t="s">
        <v>222</v>
      </c>
      <c r="B31" s="16" t="s">
        <v>223</v>
      </c>
      <c r="C31" s="16" t="s">
        <v>224</v>
      </c>
      <c r="D31" s="16" t="s">
        <v>225</v>
      </c>
      <c r="E31" s="16" t="s">
        <v>226</v>
      </c>
      <c r="F31" s="16" t="s">
        <v>89</v>
      </c>
      <c r="G31" s="16" t="s">
        <v>227</v>
      </c>
      <c r="H31" s="16" t="s">
        <v>228</v>
      </c>
    </row>
    <row r="32" customFormat="false" ht="22.35" hidden="false" customHeight="false" outlineLevel="0" collapsed="false">
      <c r="A32" s="16" t="s">
        <v>222</v>
      </c>
      <c r="B32" s="16" t="s">
        <v>229</v>
      </c>
      <c r="C32" s="16" t="s">
        <v>230</v>
      </c>
      <c r="D32" s="16" t="s">
        <v>231</v>
      </c>
      <c r="E32" s="16" t="s">
        <v>232</v>
      </c>
      <c r="F32" s="16" t="s">
        <v>211</v>
      </c>
      <c r="G32" s="16" t="s">
        <v>233</v>
      </c>
      <c r="H32" s="16" t="s">
        <v>234</v>
      </c>
    </row>
    <row r="34" customFormat="false" ht="15" hidden="false" customHeight="true" outlineLevel="0" collapsed="false">
      <c r="A34" s="21" t="s">
        <v>235</v>
      </c>
      <c r="B34" s="21"/>
      <c r="C34" s="21"/>
      <c r="D34" s="21"/>
      <c r="E34" s="21"/>
      <c r="F34" s="21"/>
      <c r="G34" s="21"/>
      <c r="H34" s="21"/>
    </row>
  </sheetData>
  <autoFilter ref="A4:H4"/>
  <mergeCells count="6">
    <mergeCell ref="A1:H1"/>
    <mergeCell ref="A2:H2"/>
    <mergeCell ref="A5:H5"/>
    <mergeCell ref="A17:H17"/>
    <mergeCell ref="A30:H30"/>
    <mergeCell ref="A34:H34"/>
  </mergeCell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4"/>
    <col collapsed="false" customWidth="true" hidden="false" outlineLevel="0" max="4" min="4" style="0" width="22"/>
    <col collapsed="false" customWidth="true" hidden="false" outlineLevel="0" max="5" min="5" style="0" width="20"/>
    <col collapsed="false" customWidth="true" hidden="false" outlineLevel="0" max="6" min="6" style="0" width="40"/>
    <col collapsed="false" customWidth="true" hidden="false" outlineLevel="0" max="7" min="7" style="0" width="26"/>
    <col collapsed="false" customWidth="true" hidden="false" outlineLevel="0" max="8" min="8" style="0" width="30"/>
    <col collapsed="false" customWidth="true" hidden="false" outlineLevel="0" max="9" min="9" style="0" width="14"/>
  </cols>
  <sheetData>
    <row r="1" customFormat="false" ht="25.5" hidden="false" customHeight="true" outlineLevel="0" collapsed="false">
      <c r="A1" s="17" t="s">
        <v>236</v>
      </c>
      <c r="B1" s="17"/>
      <c r="C1" s="17"/>
      <c r="D1" s="17"/>
      <c r="E1" s="17"/>
      <c r="F1" s="17"/>
      <c r="G1" s="17"/>
      <c r="H1" s="17"/>
      <c r="I1" s="17"/>
    </row>
    <row r="2" customFormat="false" ht="18" hidden="false" customHeight="true" outlineLevel="0" collapsed="false">
      <c r="A2" s="18" t="s">
        <v>237</v>
      </c>
      <c r="B2" s="18"/>
      <c r="C2" s="18"/>
      <c r="D2" s="18"/>
      <c r="E2" s="18"/>
      <c r="F2" s="18"/>
      <c r="G2" s="18"/>
      <c r="H2" s="18"/>
      <c r="I2" s="18"/>
    </row>
    <row r="4" customFormat="false" ht="15" hidden="false" customHeight="false" outlineLevel="0" collapsed="false">
      <c r="A4" s="22" t="s">
        <v>238</v>
      </c>
      <c r="B4" s="22"/>
      <c r="C4" s="22"/>
      <c r="D4" s="22"/>
      <c r="E4" s="22"/>
      <c r="F4" s="22"/>
      <c r="G4" s="22"/>
      <c r="H4" s="22"/>
      <c r="I4" s="22"/>
    </row>
    <row r="5" customFormat="false" ht="30" hidden="false" customHeight="true" outlineLevel="0" collapsed="false">
      <c r="A5" s="19" t="s">
        <v>239</v>
      </c>
      <c r="B5" s="19" t="s">
        <v>240</v>
      </c>
      <c r="C5" s="19" t="s">
        <v>241</v>
      </c>
      <c r="D5" s="19" t="s">
        <v>242</v>
      </c>
      <c r="E5" s="19" t="s">
        <v>243</v>
      </c>
      <c r="F5" s="19" t="s">
        <v>244</v>
      </c>
      <c r="G5" s="19" t="s">
        <v>245</v>
      </c>
      <c r="H5" s="19" t="s">
        <v>246</v>
      </c>
      <c r="I5" s="19" t="s">
        <v>247</v>
      </c>
    </row>
    <row r="6" customFormat="false" ht="15" hidden="false" customHeight="false" outlineLevel="0" collapsed="false">
      <c r="A6" s="16" t="s">
        <v>248</v>
      </c>
      <c r="B6" s="16" t="s">
        <v>249</v>
      </c>
      <c r="C6" s="16" t="s">
        <v>250</v>
      </c>
      <c r="D6" s="16" t="s">
        <v>251</v>
      </c>
      <c r="E6" s="16" t="s">
        <v>252</v>
      </c>
      <c r="F6" s="16" t="s">
        <v>253</v>
      </c>
      <c r="G6" s="16" t="s">
        <v>252</v>
      </c>
      <c r="H6" s="16" t="n">
        <v>0</v>
      </c>
      <c r="I6" s="16" t="s">
        <v>254</v>
      </c>
    </row>
    <row r="7" customFormat="false" ht="15" hidden="false" customHeight="false" outlineLevel="0" collapsed="false">
      <c r="A7" s="16" t="s">
        <v>255</v>
      </c>
      <c r="B7" s="16" t="s">
        <v>249</v>
      </c>
      <c r="C7" s="16" t="s">
        <v>256</v>
      </c>
      <c r="D7" s="16" t="s">
        <v>257</v>
      </c>
      <c r="E7" s="16" t="s">
        <v>258</v>
      </c>
      <c r="F7" s="16" t="s">
        <v>259</v>
      </c>
      <c r="G7" s="16" t="s">
        <v>260</v>
      </c>
      <c r="H7" s="16" t="n">
        <v>10</v>
      </c>
      <c r="I7" s="16" t="s">
        <v>254</v>
      </c>
    </row>
    <row r="8" customFormat="false" ht="15" hidden="false" customHeight="false" outlineLevel="0" collapsed="false">
      <c r="A8" s="16" t="s">
        <v>261</v>
      </c>
      <c r="B8" s="16" t="s">
        <v>262</v>
      </c>
      <c r="C8" s="16" t="s">
        <v>263</v>
      </c>
      <c r="D8" s="16" t="s">
        <v>264</v>
      </c>
      <c r="E8" s="16" t="s">
        <v>265</v>
      </c>
      <c r="F8" s="16" t="s">
        <v>266</v>
      </c>
      <c r="G8" s="16" t="s">
        <v>267</v>
      </c>
      <c r="H8" s="16" t="n">
        <v>10</v>
      </c>
      <c r="I8" s="16" t="s">
        <v>268</v>
      </c>
    </row>
    <row r="9" customFormat="false" ht="15" hidden="false" customHeight="false" outlineLevel="0" collapsed="false">
      <c r="A9" s="16" t="s">
        <v>269</v>
      </c>
      <c r="B9" s="16" t="s">
        <v>270</v>
      </c>
      <c r="C9" s="16" t="s">
        <v>271</v>
      </c>
      <c r="D9" s="16" t="s">
        <v>272</v>
      </c>
      <c r="E9" s="16" t="s">
        <v>273</v>
      </c>
      <c r="F9" s="16" t="s">
        <v>274</v>
      </c>
      <c r="G9" s="16" t="s">
        <v>275</v>
      </c>
      <c r="H9" s="16" t="n">
        <v>10</v>
      </c>
      <c r="I9" s="16" t="s">
        <v>276</v>
      </c>
    </row>
    <row r="10" customFormat="false" ht="15" hidden="false" customHeight="false" outlineLevel="0" collapsed="false">
      <c r="A10" s="16" t="s">
        <v>277</v>
      </c>
      <c r="B10" s="16" t="s">
        <v>278</v>
      </c>
      <c r="C10" s="16" t="s">
        <v>279</v>
      </c>
      <c r="D10" s="16" t="s">
        <v>280</v>
      </c>
      <c r="E10" s="16" t="s">
        <v>258</v>
      </c>
      <c r="F10" s="16" t="s">
        <v>281</v>
      </c>
      <c r="G10" s="16" t="s">
        <v>260</v>
      </c>
      <c r="H10" s="16" t="n">
        <v>10</v>
      </c>
      <c r="I10" s="16" t="s">
        <v>276</v>
      </c>
    </row>
    <row r="11" customFormat="false" ht="22.35" hidden="false" customHeight="false" outlineLevel="0" collapsed="false">
      <c r="A11" s="23"/>
      <c r="B11" s="23"/>
      <c r="C11" s="23" t="s">
        <v>282</v>
      </c>
      <c r="D11" s="23" t="s">
        <v>283</v>
      </c>
      <c r="E11" s="23"/>
      <c r="F11" s="23" t="s">
        <v>284</v>
      </c>
      <c r="G11" s="23"/>
      <c r="H11" s="23" t="s">
        <v>285</v>
      </c>
      <c r="I11" s="23" t="s">
        <v>286</v>
      </c>
    </row>
    <row r="12" customFormat="false" ht="22.35" hidden="false" customHeight="false" outlineLevel="0" collapsed="false">
      <c r="A12" s="23"/>
      <c r="B12" s="23"/>
      <c r="C12" s="23" t="s">
        <v>282</v>
      </c>
      <c r="D12" s="23" t="s">
        <v>287</v>
      </c>
      <c r="E12" s="23"/>
      <c r="F12" s="23" t="s">
        <v>288</v>
      </c>
      <c r="G12" s="23"/>
      <c r="H12" s="23" t="s">
        <v>289</v>
      </c>
      <c r="I12" s="23" t="s">
        <v>286</v>
      </c>
    </row>
    <row r="14" customFormat="false" ht="15" hidden="false" customHeight="false" outlineLevel="0" collapsed="false">
      <c r="A14" s="22" t="s">
        <v>290</v>
      </c>
      <c r="B14" s="22"/>
      <c r="C14" s="22"/>
      <c r="D14" s="22"/>
      <c r="E14" s="22"/>
      <c r="F14" s="22"/>
      <c r="G14" s="22"/>
      <c r="H14" s="22"/>
      <c r="I14" s="22"/>
    </row>
    <row r="15" customFormat="false" ht="30" hidden="false" customHeight="true" outlineLevel="0" collapsed="false">
      <c r="A15" s="19" t="s">
        <v>240</v>
      </c>
      <c r="B15" s="19" t="s">
        <v>239</v>
      </c>
      <c r="C15" s="19" t="s">
        <v>291</v>
      </c>
      <c r="D15" s="19" t="s">
        <v>292</v>
      </c>
      <c r="E15" s="19" t="s">
        <v>293</v>
      </c>
      <c r="F15" s="19" t="s">
        <v>294</v>
      </c>
      <c r="G15" s="19" t="s">
        <v>295</v>
      </c>
      <c r="H15" s="19" t="s">
        <v>296</v>
      </c>
      <c r="I15" s="19" t="s">
        <v>297</v>
      </c>
    </row>
    <row r="16" customFormat="false" ht="22.35" hidden="false" customHeight="false" outlineLevel="0" collapsed="false">
      <c r="A16" s="16" t="s">
        <v>249</v>
      </c>
      <c r="B16" s="16" t="s">
        <v>255</v>
      </c>
      <c r="C16" s="16" t="s">
        <v>298</v>
      </c>
      <c r="D16" s="16" t="s">
        <v>299</v>
      </c>
      <c r="E16" s="24" t="n">
        <v>25000</v>
      </c>
      <c r="F16" s="24" t="n">
        <v>20000</v>
      </c>
      <c r="G16" s="24" t="n">
        <f aca="false">F16-E16</f>
        <v>-5000</v>
      </c>
      <c r="H16" s="24" t="s">
        <v>300</v>
      </c>
      <c r="I16" s="16" t="str">
        <f aca="false">IF(G16=0,"Yes","No — conflict")</f>
        <v>No — conflict</v>
      </c>
    </row>
    <row r="17" customFormat="false" ht="15" hidden="false" customHeight="false" outlineLevel="0" collapsed="false">
      <c r="A17" s="16" t="s">
        <v>262</v>
      </c>
      <c r="B17" s="16" t="s">
        <v>261</v>
      </c>
      <c r="C17" s="16" t="s">
        <v>301</v>
      </c>
      <c r="D17" s="16" t="s">
        <v>302</v>
      </c>
      <c r="E17" s="24" t="n">
        <v>55000</v>
      </c>
      <c r="F17" s="24" t="n">
        <v>45000</v>
      </c>
      <c r="G17" s="24" t="n">
        <f aca="false">F17-E17</f>
        <v>-10000</v>
      </c>
      <c r="H17" s="24" t="s">
        <v>300</v>
      </c>
      <c r="I17" s="16" t="str">
        <f aca="false">IF(G17=0,"Yes","No — conflict")</f>
        <v>No — conflict</v>
      </c>
    </row>
    <row r="18" customFormat="false" ht="15" hidden="false" customHeight="false" outlineLevel="0" collapsed="false">
      <c r="A18" s="16" t="s">
        <v>262</v>
      </c>
      <c r="B18" s="16" t="s">
        <v>261</v>
      </c>
      <c r="C18" s="16" t="s">
        <v>303</v>
      </c>
      <c r="D18" s="16" t="s">
        <v>304</v>
      </c>
      <c r="E18" s="24" t="n">
        <v>35000</v>
      </c>
      <c r="F18" s="24" t="n">
        <v>30000</v>
      </c>
      <c r="G18" s="24" t="n">
        <f aca="false">F18-E18</f>
        <v>-5000</v>
      </c>
      <c r="H18" s="24" t="s">
        <v>300</v>
      </c>
      <c r="I18" s="16" t="str">
        <f aca="false">IF(G18=0,"Yes","No — conflict")</f>
        <v>No — conflict</v>
      </c>
    </row>
    <row r="19" customFormat="false" ht="15" hidden="false" customHeight="false" outlineLevel="0" collapsed="false">
      <c r="A19" s="16" t="s">
        <v>270</v>
      </c>
      <c r="B19" s="16" t="s">
        <v>269</v>
      </c>
      <c r="C19" s="16" t="s">
        <v>305</v>
      </c>
      <c r="D19" s="16" t="s">
        <v>306</v>
      </c>
      <c r="E19" s="24" t="n">
        <v>50000</v>
      </c>
      <c r="F19" s="24" t="n">
        <v>40000</v>
      </c>
      <c r="G19" s="24" t="n">
        <f aca="false">F19-E19</f>
        <v>-10000</v>
      </c>
      <c r="H19" s="24" t="s">
        <v>300</v>
      </c>
      <c r="I19" s="16" t="str">
        <f aca="false">IF(G19=0,"Yes","No — conflict")</f>
        <v>No — conflict</v>
      </c>
    </row>
    <row r="20" customFormat="false" ht="15" hidden="false" customHeight="false" outlineLevel="0" collapsed="false">
      <c r="A20" s="16" t="s">
        <v>278</v>
      </c>
      <c r="B20" s="16" t="s">
        <v>277</v>
      </c>
      <c r="C20" s="16" t="s">
        <v>307</v>
      </c>
      <c r="D20" s="16" t="s">
        <v>308</v>
      </c>
      <c r="E20" s="24" t="n">
        <v>20000</v>
      </c>
      <c r="F20" s="24" t="n">
        <v>15000</v>
      </c>
      <c r="G20" s="24" t="n">
        <f aca="false">F20-E20</f>
        <v>-5000</v>
      </c>
      <c r="H20" s="24" t="s">
        <v>300</v>
      </c>
      <c r="I20" s="16" t="str">
        <f aca="false">IF(G20=0,"Yes","No — conflict")</f>
        <v>No — conflict</v>
      </c>
    </row>
    <row r="21" customFormat="false" ht="15" hidden="false" customHeight="false" outlineLevel="0" collapsed="false">
      <c r="A21" s="25"/>
      <c r="B21" s="25"/>
      <c r="C21" s="25"/>
      <c r="D21" s="25" t="s">
        <v>309</v>
      </c>
      <c r="E21" s="26" t="n">
        <f aca="false">SUM(E16:E20)</f>
        <v>185000</v>
      </c>
      <c r="F21" s="26" t="n">
        <f aca="false">SUM(F16:F20)</f>
        <v>150000</v>
      </c>
      <c r="G21" s="26" t="n">
        <f aca="false">SUM(G16:G20)</f>
        <v>-35000</v>
      </c>
      <c r="H21" s="26" t="n">
        <v>210000</v>
      </c>
      <c r="I21" s="25" t="str">
        <f aca="false">IF(G21=0,"Reconciled","MATERIAL CONFLICT")</f>
        <v>MATERIAL CONFLICT</v>
      </c>
    </row>
    <row r="22" customFormat="false" ht="15" hidden="false" customHeight="true" outlineLevel="0" collapsed="false">
      <c r="A22" s="27" t="s">
        <v>310</v>
      </c>
      <c r="B22" s="27"/>
      <c r="C22" s="27"/>
      <c r="D22" s="27"/>
      <c r="E22" s="27"/>
      <c r="F22" s="27"/>
      <c r="G22" s="27"/>
      <c r="H22" s="27"/>
      <c r="I22" s="27"/>
    </row>
    <row r="24" customFormat="false" ht="15" hidden="false" customHeight="false" outlineLevel="0" collapsed="false">
      <c r="A24" s="22" t="s">
        <v>311</v>
      </c>
      <c r="B24" s="22"/>
      <c r="C24" s="22"/>
      <c r="D24" s="22"/>
      <c r="E24" s="22"/>
      <c r="F24" s="22"/>
      <c r="G24" s="22"/>
      <c r="H24" s="22"/>
      <c r="I24" s="22"/>
    </row>
    <row r="25" customFormat="false" ht="30" hidden="false" customHeight="true" outlineLevel="0" collapsed="false">
      <c r="A25" s="19" t="s">
        <v>77</v>
      </c>
      <c r="B25" s="19" t="s">
        <v>312</v>
      </c>
      <c r="C25" s="19" t="s">
        <v>313</v>
      </c>
      <c r="D25" s="19" t="s">
        <v>314</v>
      </c>
      <c r="E25" s="19" t="s">
        <v>315</v>
      </c>
      <c r="F25" s="19" t="s">
        <v>316</v>
      </c>
      <c r="G25" s="19" t="s">
        <v>82</v>
      </c>
      <c r="H25" s="19" t="s">
        <v>317</v>
      </c>
      <c r="I25" s="19" t="s">
        <v>318</v>
      </c>
    </row>
    <row r="26" customFormat="false" ht="43.25" hidden="false" customHeight="false" outlineLevel="0" collapsed="false">
      <c r="A26" s="16" t="s">
        <v>195</v>
      </c>
      <c r="B26" s="16" t="s">
        <v>319</v>
      </c>
      <c r="C26" s="16" t="s">
        <v>320</v>
      </c>
      <c r="D26" s="28" t="n">
        <v>185000</v>
      </c>
      <c r="E26" s="16" t="s">
        <v>321</v>
      </c>
      <c r="F26" s="16" t="s">
        <v>322</v>
      </c>
      <c r="G26" s="16" t="s">
        <v>323</v>
      </c>
      <c r="H26" s="16" t="s">
        <v>324</v>
      </c>
      <c r="I26" s="16" t="s">
        <v>325</v>
      </c>
    </row>
    <row r="27" customFormat="false" ht="53.7" hidden="false" customHeight="false" outlineLevel="0" collapsed="false">
      <c r="A27" s="29" t="s">
        <v>202</v>
      </c>
      <c r="B27" s="29" t="s">
        <v>326</v>
      </c>
      <c r="C27" s="29" t="s">
        <v>327</v>
      </c>
      <c r="D27" s="30" t="n">
        <v>150000</v>
      </c>
      <c r="E27" s="29" t="s">
        <v>27</v>
      </c>
      <c r="F27" s="29" t="s">
        <v>328</v>
      </c>
      <c r="G27" s="29" t="s">
        <v>329</v>
      </c>
      <c r="H27" s="29" t="s">
        <v>330</v>
      </c>
      <c r="I27" s="29" t="s">
        <v>331</v>
      </c>
    </row>
    <row r="28" customFormat="false" ht="43.25" hidden="false" customHeight="false" outlineLevel="0" collapsed="false">
      <c r="A28" s="29" t="s">
        <v>208</v>
      </c>
      <c r="B28" s="29" t="s">
        <v>332</v>
      </c>
      <c r="C28" s="29" t="s">
        <v>333</v>
      </c>
      <c r="D28" s="30" t="n">
        <v>210000</v>
      </c>
      <c r="E28" s="29" t="s">
        <v>211</v>
      </c>
      <c r="F28" s="29" t="s">
        <v>334</v>
      </c>
      <c r="G28" s="29" t="s">
        <v>335</v>
      </c>
      <c r="H28" s="29" t="s">
        <v>330</v>
      </c>
      <c r="I28" s="29" t="s">
        <v>336</v>
      </c>
    </row>
    <row r="29" customFormat="false" ht="32.8" hidden="false" customHeight="false" outlineLevel="0" collapsed="false">
      <c r="A29" s="16" t="s">
        <v>215</v>
      </c>
      <c r="B29" s="16" t="s">
        <v>337</v>
      </c>
      <c r="C29" s="16" t="s">
        <v>320</v>
      </c>
      <c r="D29" s="28" t="n">
        <v>185000</v>
      </c>
      <c r="E29" s="16" t="s">
        <v>338</v>
      </c>
      <c r="F29" s="16" t="s">
        <v>339</v>
      </c>
      <c r="G29" s="16" t="s">
        <v>340</v>
      </c>
      <c r="H29" s="16" t="s">
        <v>84</v>
      </c>
      <c r="I29" s="16" t="s">
        <v>341</v>
      </c>
    </row>
    <row r="30" customFormat="false" ht="32.8" hidden="false" customHeight="false" outlineLevel="0" collapsed="false">
      <c r="A30" s="16" t="s">
        <v>143</v>
      </c>
      <c r="B30" s="16" t="s">
        <v>342</v>
      </c>
      <c r="C30" s="16" t="s">
        <v>320</v>
      </c>
      <c r="D30" s="28" t="n">
        <v>185000</v>
      </c>
      <c r="E30" s="16" t="s">
        <v>89</v>
      </c>
      <c r="F30" s="16" t="s">
        <v>343</v>
      </c>
      <c r="G30" s="16" t="s">
        <v>344</v>
      </c>
      <c r="H30" s="16" t="s">
        <v>84</v>
      </c>
      <c r="I30" s="16" t="s">
        <v>341</v>
      </c>
    </row>
    <row r="31" customFormat="false" ht="74.6" hidden="false" customHeight="false" outlineLevel="0" collapsed="false">
      <c r="A31" s="29" t="s">
        <v>189</v>
      </c>
      <c r="B31" s="29" t="s">
        <v>345</v>
      </c>
      <c r="C31" s="29" t="s">
        <v>346</v>
      </c>
      <c r="D31" s="29"/>
      <c r="E31" s="29" t="s">
        <v>128</v>
      </c>
      <c r="F31" s="29" t="s">
        <v>347</v>
      </c>
      <c r="G31" s="29" t="s">
        <v>348</v>
      </c>
      <c r="H31" s="29" t="s">
        <v>330</v>
      </c>
      <c r="I31" s="29" t="s">
        <v>349</v>
      </c>
    </row>
    <row r="33" customFormat="false" ht="27.75" hidden="false" customHeight="true" outlineLevel="0" collapsed="false">
      <c r="A33" s="31" t="s">
        <v>350</v>
      </c>
      <c r="B33" s="31"/>
      <c r="C33" s="31"/>
      <c r="D33" s="31"/>
      <c r="E33" s="31"/>
      <c r="F33" s="31"/>
      <c r="G33" s="31"/>
      <c r="H33" s="31"/>
      <c r="I33" s="31"/>
    </row>
    <row r="35" customFormat="false" ht="15" hidden="false" customHeight="false" outlineLevel="0" collapsed="false">
      <c r="A35" s="22" t="s">
        <v>351</v>
      </c>
      <c r="B35" s="22"/>
      <c r="C35" s="22"/>
      <c r="D35" s="22"/>
      <c r="E35" s="22"/>
      <c r="F35" s="22"/>
      <c r="G35" s="22"/>
      <c r="H35" s="22"/>
      <c r="I35" s="22"/>
    </row>
    <row r="36" customFormat="false" ht="30" hidden="false" customHeight="true" outlineLevel="0" collapsed="false">
      <c r="A36" s="19" t="s">
        <v>352</v>
      </c>
      <c r="B36" s="19" t="s">
        <v>353</v>
      </c>
      <c r="C36" s="19" t="s">
        <v>354</v>
      </c>
      <c r="D36" s="19" t="s">
        <v>355</v>
      </c>
      <c r="E36" s="19" t="s">
        <v>356</v>
      </c>
      <c r="F36" s="19" t="s">
        <v>357</v>
      </c>
      <c r="G36" s="19" t="s">
        <v>358</v>
      </c>
      <c r="H36" s="19" t="s">
        <v>359</v>
      </c>
      <c r="I36" s="19" t="s">
        <v>360</v>
      </c>
    </row>
    <row r="37" customFormat="false" ht="15" hidden="false" customHeight="false" outlineLevel="0" collapsed="false">
      <c r="A37" s="16" t="s">
        <v>361</v>
      </c>
      <c r="B37" s="16" t="s">
        <v>362</v>
      </c>
      <c r="C37" s="16" t="s">
        <v>363</v>
      </c>
      <c r="D37" s="16" t="s">
        <v>364</v>
      </c>
      <c r="E37" s="16" t="s">
        <v>364</v>
      </c>
      <c r="F37" s="16" t="s">
        <v>365</v>
      </c>
      <c r="G37" s="16" t="s">
        <v>366</v>
      </c>
      <c r="H37" s="16" t="s">
        <v>367</v>
      </c>
      <c r="I37" s="16" t="s">
        <v>368</v>
      </c>
    </row>
    <row r="38" customFormat="false" ht="22.35" hidden="false" customHeight="false" outlineLevel="0" collapsed="false">
      <c r="A38" s="16" t="s">
        <v>369</v>
      </c>
      <c r="B38" s="16" t="s">
        <v>370</v>
      </c>
      <c r="C38" s="16" t="s">
        <v>371</v>
      </c>
      <c r="D38" s="16" t="s">
        <v>372</v>
      </c>
      <c r="E38" s="16" t="s">
        <v>373</v>
      </c>
      <c r="F38" s="16" t="s">
        <v>374</v>
      </c>
      <c r="G38" s="16" t="s">
        <v>174</v>
      </c>
      <c r="H38" s="16" t="s">
        <v>367</v>
      </c>
      <c r="I38" s="16" t="s">
        <v>368</v>
      </c>
    </row>
    <row r="39" customFormat="false" ht="15" hidden="false" customHeight="false" outlineLevel="0" collapsed="false">
      <c r="A39" s="16" t="s">
        <v>375</v>
      </c>
      <c r="B39" s="16" t="s">
        <v>376</v>
      </c>
      <c r="C39" s="16" t="s">
        <v>377</v>
      </c>
      <c r="D39" s="16" t="s">
        <v>378</v>
      </c>
      <c r="E39" s="16" t="s">
        <v>378</v>
      </c>
      <c r="F39" s="16" t="s">
        <v>379</v>
      </c>
      <c r="G39" s="16" t="s">
        <v>174</v>
      </c>
      <c r="H39" s="16" t="s">
        <v>367</v>
      </c>
      <c r="I39" s="16" t="s">
        <v>368</v>
      </c>
    </row>
    <row r="40" customFormat="false" ht="15" hidden="false" customHeight="false" outlineLevel="0" collapsed="false">
      <c r="A40" s="16" t="s">
        <v>380</v>
      </c>
      <c r="B40" s="16" t="s">
        <v>381</v>
      </c>
      <c r="C40" s="16" t="s">
        <v>382</v>
      </c>
      <c r="D40" s="16" t="s">
        <v>383</v>
      </c>
      <c r="E40" s="16" t="s">
        <v>384</v>
      </c>
      <c r="F40" s="16" t="s">
        <v>385</v>
      </c>
      <c r="G40" s="16" t="s">
        <v>366</v>
      </c>
      <c r="H40" s="16" t="s">
        <v>367</v>
      </c>
      <c r="I40" s="16" t="s">
        <v>368</v>
      </c>
    </row>
    <row r="41" customFormat="false" ht="15" hidden="false" customHeight="false" outlineLevel="0" collapsed="false">
      <c r="A41" s="16" t="s">
        <v>386</v>
      </c>
      <c r="B41" s="16" t="s">
        <v>387</v>
      </c>
      <c r="C41" s="16" t="s">
        <v>388</v>
      </c>
      <c r="D41" s="16" t="s">
        <v>389</v>
      </c>
      <c r="E41" s="16" t="s">
        <v>390</v>
      </c>
      <c r="F41" s="16" t="s">
        <v>391</v>
      </c>
      <c r="G41" s="16" t="s">
        <v>174</v>
      </c>
      <c r="H41" s="16" t="s">
        <v>367</v>
      </c>
      <c r="I41" s="16" t="s">
        <v>368</v>
      </c>
    </row>
    <row r="42" customFormat="false" ht="15" hidden="false" customHeight="false" outlineLevel="0" collapsed="false">
      <c r="A42" s="16" t="s">
        <v>215</v>
      </c>
      <c r="B42" s="16" t="s">
        <v>392</v>
      </c>
      <c r="C42" s="16" t="s">
        <v>393</v>
      </c>
      <c r="D42" s="16" t="s">
        <v>383</v>
      </c>
      <c r="E42" s="16" t="s">
        <v>390</v>
      </c>
      <c r="F42" s="16" t="s">
        <v>391</v>
      </c>
      <c r="G42" s="16" t="s">
        <v>174</v>
      </c>
      <c r="H42" s="16" t="s">
        <v>367</v>
      </c>
      <c r="I42" s="16" t="s">
        <v>368</v>
      </c>
    </row>
  </sheetData>
  <mergeCells count="8">
    <mergeCell ref="A1:I1"/>
    <mergeCell ref="A2:I2"/>
    <mergeCell ref="A4:I4"/>
    <mergeCell ref="A14:I14"/>
    <mergeCell ref="A22:I22"/>
    <mergeCell ref="A24:I24"/>
    <mergeCell ref="A33:I33"/>
    <mergeCell ref="A35:I35"/>
  </mergeCell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8"/>
    <col collapsed="false" customWidth="true" hidden="false" outlineLevel="0" max="4" min="4" style="0" width="20"/>
    <col collapsed="false" customWidth="true" hidden="false" outlineLevel="0" max="5" min="5" style="0" width="12"/>
    <col collapsed="false" customWidth="true" hidden="false" outlineLevel="0" max="6" min="6" style="0" width="78"/>
    <col collapsed="false" customWidth="true" hidden="false" outlineLevel="0" max="7" min="7" style="0" width="50"/>
    <col collapsed="false" customWidth="true" hidden="false" outlineLevel="0" max="9" min="8" style="0" width="44"/>
  </cols>
  <sheetData>
    <row r="1" customFormat="false" ht="25.5" hidden="false" customHeight="true" outlineLevel="0" collapsed="false">
      <c r="A1" s="17" t="s">
        <v>394</v>
      </c>
      <c r="B1" s="17"/>
      <c r="C1" s="17"/>
      <c r="D1" s="17"/>
      <c r="E1" s="17"/>
      <c r="F1" s="17"/>
      <c r="G1" s="17"/>
      <c r="H1" s="17"/>
      <c r="I1" s="17"/>
    </row>
    <row r="2" customFormat="false" ht="18" hidden="false" customHeight="true" outlineLevel="0" collapsed="false">
      <c r="A2" s="18" t="s">
        <v>395</v>
      </c>
      <c r="B2" s="18"/>
      <c r="C2" s="18"/>
      <c r="D2" s="18"/>
      <c r="E2" s="18"/>
      <c r="F2" s="18"/>
      <c r="G2" s="18"/>
      <c r="H2" s="18"/>
      <c r="I2" s="18"/>
    </row>
    <row r="4" customFormat="false" ht="30" hidden="false" customHeight="true" outlineLevel="0" collapsed="false">
      <c r="A4" s="19" t="s">
        <v>396</v>
      </c>
      <c r="B4" s="19" t="s">
        <v>397</v>
      </c>
      <c r="C4" s="19" t="s">
        <v>398</v>
      </c>
      <c r="D4" s="19" t="s">
        <v>399</v>
      </c>
      <c r="E4" s="19" t="s">
        <v>400</v>
      </c>
      <c r="F4" s="19" t="s">
        <v>401</v>
      </c>
      <c r="G4" s="19" t="s">
        <v>402</v>
      </c>
      <c r="H4" s="19" t="s">
        <v>403</v>
      </c>
      <c r="I4" s="19" t="s">
        <v>404</v>
      </c>
    </row>
    <row r="5" customFormat="false" ht="111.75" hidden="false" customHeight="true" outlineLevel="0" collapsed="false">
      <c r="A5" s="32" t="s">
        <v>405</v>
      </c>
      <c r="B5" s="33" t="s">
        <v>406</v>
      </c>
      <c r="C5" s="32" t="n">
        <v>1</v>
      </c>
      <c r="D5" s="34" t="s">
        <v>407</v>
      </c>
      <c r="E5" s="35" t="s">
        <v>368</v>
      </c>
      <c r="F5" s="33" t="s">
        <v>408</v>
      </c>
      <c r="G5" s="33" t="s">
        <v>409</v>
      </c>
      <c r="H5" s="33" t="s">
        <v>410</v>
      </c>
      <c r="I5" s="33" t="s">
        <v>411</v>
      </c>
    </row>
    <row r="6" customFormat="false" ht="111.75" hidden="false" customHeight="true" outlineLevel="0" collapsed="false">
      <c r="A6" s="32" t="s">
        <v>412</v>
      </c>
      <c r="B6" s="33" t="s">
        <v>413</v>
      </c>
      <c r="C6" s="32" t="n">
        <v>0</v>
      </c>
      <c r="D6" s="34" t="s">
        <v>414</v>
      </c>
      <c r="E6" s="35" t="s">
        <v>84</v>
      </c>
      <c r="F6" s="33" t="s">
        <v>415</v>
      </c>
      <c r="G6" s="33" t="s">
        <v>416</v>
      </c>
      <c r="H6" s="33" t="s">
        <v>417</v>
      </c>
      <c r="I6" s="33" t="s">
        <v>418</v>
      </c>
    </row>
    <row r="7" customFormat="false" ht="111.75" hidden="false" customHeight="true" outlineLevel="0" collapsed="false">
      <c r="A7" s="32" t="s">
        <v>419</v>
      </c>
      <c r="B7" s="33" t="s">
        <v>420</v>
      </c>
      <c r="C7" s="32" t="n">
        <v>1</v>
      </c>
      <c r="D7" s="34" t="s">
        <v>407</v>
      </c>
      <c r="E7" s="35" t="s">
        <v>368</v>
      </c>
      <c r="F7" s="33" t="s">
        <v>421</v>
      </c>
      <c r="G7" s="33" t="s">
        <v>422</v>
      </c>
      <c r="H7" s="33" t="s">
        <v>423</v>
      </c>
      <c r="I7" s="33" t="s">
        <v>424</v>
      </c>
    </row>
    <row r="8" customFormat="false" ht="111.75" hidden="false" customHeight="true" outlineLevel="0" collapsed="false">
      <c r="A8" s="32" t="s">
        <v>425</v>
      </c>
      <c r="B8" s="33" t="s">
        <v>426</v>
      </c>
      <c r="C8" s="32" t="n">
        <v>2</v>
      </c>
      <c r="D8" s="34" t="s">
        <v>427</v>
      </c>
      <c r="E8" s="35" t="s">
        <v>368</v>
      </c>
      <c r="F8" s="33" t="s">
        <v>428</v>
      </c>
      <c r="G8" s="33" t="s">
        <v>429</v>
      </c>
      <c r="H8" s="33" t="s">
        <v>430</v>
      </c>
      <c r="I8" s="33" t="s">
        <v>431</v>
      </c>
    </row>
    <row r="9" customFormat="false" ht="15" hidden="false" customHeight="false" outlineLevel="0" collapsed="false">
      <c r="A9" s="36"/>
      <c r="B9" s="25" t="s">
        <v>432</v>
      </c>
      <c r="C9" s="37" t="n">
        <f aca="false">SUM(C5:C8)</f>
        <v>4</v>
      </c>
      <c r="D9" s="38" t="str">
        <f aca="false">COUNTIF(C5:C8,0)&amp;" critical test failure(s)"</f>
        <v>1 critical test failure(s)</v>
      </c>
      <c r="E9" s="36"/>
      <c r="F9" s="36"/>
      <c r="G9" s="36"/>
      <c r="H9" s="36"/>
      <c r="I9" s="36"/>
    </row>
    <row r="11" customFormat="false" ht="15" hidden="false" customHeight="false" outlineLevel="0" collapsed="false">
      <c r="A11" s="39" t="s">
        <v>433</v>
      </c>
      <c r="B11" s="39"/>
      <c r="C11" s="39"/>
      <c r="D11" s="39"/>
      <c r="E11" s="39"/>
      <c r="F11" s="39"/>
      <c r="G11" s="39"/>
      <c r="H11" s="39"/>
      <c r="I11" s="39"/>
    </row>
    <row r="12" customFormat="false" ht="30" hidden="false" customHeight="true" outlineLevel="0" collapsed="false">
      <c r="A12" s="40" t="s">
        <v>396</v>
      </c>
      <c r="B12" s="40" t="s">
        <v>434</v>
      </c>
      <c r="C12" s="40" t="s">
        <v>435</v>
      </c>
      <c r="D12" s="40" t="s">
        <v>436</v>
      </c>
      <c r="E12" s="40" t="s">
        <v>437</v>
      </c>
      <c r="F12" s="40" t="s">
        <v>438</v>
      </c>
      <c r="G12" s="40"/>
      <c r="H12" s="40"/>
      <c r="I12" s="40"/>
    </row>
    <row r="13" customFormat="false" ht="15" hidden="false" customHeight="false" outlineLevel="0" collapsed="false">
      <c r="A13" s="41" t="s">
        <v>405</v>
      </c>
      <c r="B13" s="42"/>
      <c r="C13" s="42"/>
      <c r="D13" s="42"/>
      <c r="E13" s="42"/>
      <c r="F13" s="42"/>
    </row>
    <row r="14" customFormat="false" ht="15" hidden="false" customHeight="false" outlineLevel="0" collapsed="false">
      <c r="A14" s="41" t="s">
        <v>412</v>
      </c>
      <c r="B14" s="42"/>
      <c r="C14" s="42"/>
      <c r="D14" s="42"/>
      <c r="E14" s="42"/>
      <c r="F14" s="42"/>
    </row>
    <row r="15" customFormat="false" ht="15" hidden="false" customHeight="false" outlineLevel="0" collapsed="false">
      <c r="A15" s="41" t="s">
        <v>419</v>
      </c>
      <c r="B15" s="42"/>
      <c r="C15" s="42"/>
      <c r="D15" s="42"/>
      <c r="E15" s="42"/>
      <c r="F15" s="42"/>
    </row>
    <row r="16" customFormat="false" ht="15" hidden="false" customHeight="false" outlineLevel="0" collapsed="false">
      <c r="A16" s="41" t="s">
        <v>425</v>
      </c>
      <c r="B16" s="42"/>
      <c r="C16" s="42"/>
      <c r="D16" s="42"/>
      <c r="E16" s="42"/>
      <c r="F16" s="42"/>
    </row>
  </sheetData>
  <autoFilter ref="A4:I4"/>
  <mergeCells count="3">
    <mergeCell ref="A1:I1"/>
    <mergeCell ref="A2:I2"/>
    <mergeCell ref="A11:I11"/>
  </mergeCells>
  <conditionalFormatting sqref="C5">
    <cfRule type="cellIs" priority="2" operator="equal" aboveAverage="0" equalAverage="0" bottom="0" percent="0" rank="0" text="" dxfId="6">
      <formula>2</formula>
    </cfRule>
    <cfRule type="cellIs" priority="3" operator="equal" aboveAverage="0" equalAverage="0" bottom="0" percent="0" rank="0" text="" dxfId="7">
      <formula>1</formula>
    </cfRule>
    <cfRule type="cellIs" priority="4" operator="equal" aboveAverage="0" equalAverage="0" bottom="0" percent="0" rank="0" text="" dxfId="8">
      <formula>0</formula>
    </cfRule>
  </conditionalFormatting>
  <conditionalFormatting sqref="C6">
    <cfRule type="cellIs" priority="5" operator="equal" aboveAverage="0" equalAverage="0" bottom="0" percent="0" rank="0" text="" dxfId="6">
      <formula>2</formula>
    </cfRule>
    <cfRule type="cellIs" priority="6" operator="equal" aboveAverage="0" equalAverage="0" bottom="0" percent="0" rank="0" text="" dxfId="7">
      <formula>1</formula>
    </cfRule>
    <cfRule type="cellIs" priority="7" operator="equal" aboveAverage="0" equalAverage="0" bottom="0" percent="0" rank="0" text="" dxfId="8">
      <formula>0</formula>
    </cfRule>
  </conditionalFormatting>
  <conditionalFormatting sqref="C7">
    <cfRule type="cellIs" priority="8" operator="equal" aboveAverage="0" equalAverage="0" bottom="0" percent="0" rank="0" text="" dxfId="6">
      <formula>2</formula>
    </cfRule>
    <cfRule type="cellIs" priority="9" operator="equal" aboveAverage="0" equalAverage="0" bottom="0" percent="0" rank="0" text="" dxfId="7">
      <formula>1</formula>
    </cfRule>
    <cfRule type="cellIs" priority="10" operator="equal" aboveAverage="0" equalAverage="0" bottom="0" percent="0" rank="0" text="" dxfId="8">
      <formula>0</formula>
    </cfRule>
  </conditionalFormatting>
  <conditionalFormatting sqref="C8">
    <cfRule type="cellIs" priority="11" operator="equal" aboveAverage="0" equalAverage="0" bottom="0" percent="0" rank="0" text="" dxfId="6">
      <formula>2</formula>
    </cfRule>
    <cfRule type="cellIs" priority="12" operator="equal" aboveAverage="0" equalAverage="0" bottom="0" percent="0" rank="0" text="" dxfId="7">
      <formula>1</formula>
    </cfRule>
    <cfRule type="cellIs" priority="13" operator="equal" aboveAverage="0" equalAverage="0" bottom="0" percent="0" rank="0" text="" dxfId="8">
      <formula>0</formula>
    </cfRule>
  </conditionalFormatting>
  <conditionalFormatting sqref="D5:E8">
    <cfRule type="cellIs" priority="14" operator="equal" aboveAverage="0" equalAverage="0" bottom="0" percent="0" rank="0" text="" dxfId="8">
      <formula>"CRITICAL FAILURE"</formula>
    </cfRule>
  </conditionalFormatting>
  <dataValidations count="1">
    <dataValidation allowBlank="true" errorStyle="stop" operator="between" prompt="Enter 0, 1 or 2" promptTitle="Score" showDropDown="false" showErrorMessage="false" showInputMessage="false" sqref="C13:C16" type="list">
      <formula1>"0,1,2"</formula1>
      <formula2>0</formula2>
    </dataValidation>
  </dataValidation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2"/>
    <col collapsed="false" customWidth="true" hidden="false" outlineLevel="0" max="4" min="4" style="0" width="24"/>
    <col collapsed="false" customWidth="true" hidden="false" outlineLevel="0" max="5" min="5" style="0" width="44"/>
    <col collapsed="false" customWidth="true" hidden="false" outlineLevel="0" max="6" min="6" style="0" width="50"/>
    <col collapsed="false" customWidth="true" hidden="false" outlineLevel="0" max="7" min="7" style="0" width="26"/>
    <col collapsed="false" customWidth="true" hidden="false" outlineLevel="0" max="8" min="8" style="0" width="68"/>
    <col collapsed="false" customWidth="true" hidden="false" outlineLevel="0" max="9" min="9" style="0" width="48"/>
    <col collapsed="false" customWidth="true" hidden="false" outlineLevel="0" max="10" min="10" style="0" width="24"/>
    <col collapsed="false" customWidth="true" hidden="false" outlineLevel="0" max="11" min="11" style="0" width="20"/>
  </cols>
  <sheetData>
    <row r="1" customFormat="false" ht="25.5" hidden="false" customHeight="true" outlineLevel="0" collapsed="false">
      <c r="A1" s="17" t="s">
        <v>439</v>
      </c>
      <c r="B1" s="17"/>
      <c r="C1" s="17"/>
      <c r="D1" s="17"/>
      <c r="E1" s="17"/>
      <c r="F1" s="17"/>
      <c r="G1" s="17"/>
      <c r="H1" s="17"/>
      <c r="I1" s="17"/>
      <c r="J1" s="17"/>
      <c r="K1" s="17"/>
    </row>
    <row r="2" customFormat="false" ht="18" hidden="false" customHeight="true" outlineLevel="0" collapsed="false">
      <c r="A2" s="18" t="s">
        <v>440</v>
      </c>
      <c r="B2" s="18"/>
      <c r="C2" s="18"/>
      <c r="D2" s="18"/>
      <c r="E2" s="18"/>
      <c r="F2" s="18"/>
      <c r="G2" s="18"/>
      <c r="H2" s="18"/>
      <c r="I2" s="18"/>
      <c r="J2" s="18"/>
      <c r="K2" s="18"/>
    </row>
    <row r="4" customFormat="false" ht="30" hidden="false" customHeight="true" outlineLevel="0" collapsed="false">
      <c r="A4" s="19" t="s">
        <v>441</v>
      </c>
      <c r="B4" s="19" t="s">
        <v>442</v>
      </c>
      <c r="C4" s="19" t="s">
        <v>443</v>
      </c>
      <c r="D4" s="19" t="s">
        <v>353</v>
      </c>
      <c r="E4" s="19" t="s">
        <v>444</v>
      </c>
      <c r="F4" s="19" t="s">
        <v>445</v>
      </c>
      <c r="G4" s="19" t="s">
        <v>446</v>
      </c>
      <c r="H4" s="19" t="s">
        <v>401</v>
      </c>
      <c r="I4" s="19" t="s">
        <v>447</v>
      </c>
      <c r="J4" s="19" t="s">
        <v>358</v>
      </c>
      <c r="K4" s="19" t="s">
        <v>448</v>
      </c>
    </row>
    <row r="5" customFormat="false" ht="73.5" hidden="false" customHeight="true" outlineLevel="0" collapsed="false">
      <c r="A5" s="32" t="s">
        <v>449</v>
      </c>
      <c r="B5" s="33" t="s">
        <v>450</v>
      </c>
      <c r="C5" s="33" t="s">
        <v>451</v>
      </c>
      <c r="D5" s="33" t="s">
        <v>362</v>
      </c>
      <c r="E5" s="33" t="s">
        <v>452</v>
      </c>
      <c r="F5" s="33" t="s">
        <v>453</v>
      </c>
      <c r="G5" s="34" t="s">
        <v>454</v>
      </c>
      <c r="H5" s="33" t="s">
        <v>455</v>
      </c>
      <c r="I5" s="33" t="s">
        <v>456</v>
      </c>
      <c r="J5" s="33" t="s">
        <v>366</v>
      </c>
      <c r="K5" s="33" t="s">
        <v>457</v>
      </c>
    </row>
    <row r="6" customFormat="false" ht="73.5" hidden="false" customHeight="true" outlineLevel="0" collapsed="false">
      <c r="A6" s="32" t="s">
        <v>458</v>
      </c>
      <c r="B6" s="33" t="s">
        <v>459</v>
      </c>
      <c r="C6" s="33" t="s">
        <v>451</v>
      </c>
      <c r="D6" s="33" t="s">
        <v>370</v>
      </c>
      <c r="E6" s="33" t="s">
        <v>460</v>
      </c>
      <c r="F6" s="33" t="s">
        <v>461</v>
      </c>
      <c r="G6" s="34" t="s">
        <v>462</v>
      </c>
      <c r="H6" s="33" t="s">
        <v>463</v>
      </c>
      <c r="I6" s="33" t="s">
        <v>464</v>
      </c>
      <c r="J6" s="33" t="s">
        <v>174</v>
      </c>
      <c r="K6" s="33" t="s">
        <v>465</v>
      </c>
    </row>
    <row r="7" customFormat="false" ht="73.5" hidden="false" customHeight="true" outlineLevel="0" collapsed="false">
      <c r="A7" s="32" t="s">
        <v>466</v>
      </c>
      <c r="B7" s="33" t="s">
        <v>467</v>
      </c>
      <c r="C7" s="33" t="s">
        <v>451</v>
      </c>
      <c r="D7" s="33" t="s">
        <v>468</v>
      </c>
      <c r="E7" s="33" t="s">
        <v>469</v>
      </c>
      <c r="F7" s="33" t="s">
        <v>470</v>
      </c>
      <c r="G7" s="34" t="s">
        <v>454</v>
      </c>
      <c r="H7" s="33" t="s">
        <v>471</v>
      </c>
      <c r="I7" s="33" t="s">
        <v>472</v>
      </c>
      <c r="J7" s="33" t="s">
        <v>158</v>
      </c>
      <c r="K7" s="33" t="s">
        <v>473</v>
      </c>
    </row>
    <row r="8" customFormat="false" ht="73.5" hidden="false" customHeight="true" outlineLevel="0" collapsed="false">
      <c r="A8" s="32" t="s">
        <v>474</v>
      </c>
      <c r="B8" s="33" t="s">
        <v>475</v>
      </c>
      <c r="C8" s="33" t="s">
        <v>419</v>
      </c>
      <c r="D8" s="33" t="s">
        <v>376</v>
      </c>
      <c r="E8" s="33" t="s">
        <v>476</v>
      </c>
      <c r="F8" s="33" t="s">
        <v>477</v>
      </c>
      <c r="G8" s="34" t="s">
        <v>454</v>
      </c>
      <c r="H8" s="33" t="s">
        <v>478</v>
      </c>
      <c r="I8" s="33" t="s">
        <v>479</v>
      </c>
      <c r="J8" s="33" t="s">
        <v>174</v>
      </c>
      <c r="K8" s="33" t="s">
        <v>480</v>
      </c>
    </row>
    <row r="9" customFormat="false" ht="73.5" hidden="false" customHeight="true" outlineLevel="0" collapsed="false">
      <c r="A9" s="32" t="s">
        <v>481</v>
      </c>
      <c r="B9" s="33" t="s">
        <v>482</v>
      </c>
      <c r="C9" s="33" t="s">
        <v>483</v>
      </c>
      <c r="D9" s="33" t="s">
        <v>484</v>
      </c>
      <c r="E9" s="33" t="s">
        <v>485</v>
      </c>
      <c r="F9" s="33" t="s">
        <v>486</v>
      </c>
      <c r="G9" s="34" t="s">
        <v>487</v>
      </c>
      <c r="H9" s="33" t="s">
        <v>488</v>
      </c>
      <c r="I9" s="33" t="s">
        <v>489</v>
      </c>
      <c r="J9" s="33" t="s">
        <v>366</v>
      </c>
      <c r="K9" s="33" t="s">
        <v>490</v>
      </c>
    </row>
    <row r="10" customFormat="false" ht="73.5" hidden="false" customHeight="true" outlineLevel="0" collapsed="false">
      <c r="A10" s="32" t="s">
        <v>491</v>
      </c>
      <c r="B10" s="33" t="s">
        <v>492</v>
      </c>
      <c r="C10" s="33" t="s">
        <v>419</v>
      </c>
      <c r="D10" s="33" t="s">
        <v>493</v>
      </c>
      <c r="E10" s="33" t="s">
        <v>494</v>
      </c>
      <c r="F10" s="33" t="s">
        <v>495</v>
      </c>
      <c r="G10" s="34" t="s">
        <v>454</v>
      </c>
      <c r="H10" s="33" t="s">
        <v>496</v>
      </c>
      <c r="I10" s="33" t="s">
        <v>497</v>
      </c>
      <c r="J10" s="33" t="s">
        <v>158</v>
      </c>
      <c r="K10" s="33" t="s">
        <v>480</v>
      </c>
    </row>
    <row r="11" customFormat="false" ht="73.5" hidden="false" customHeight="true" outlineLevel="0" collapsed="false">
      <c r="A11" s="32" t="s">
        <v>498</v>
      </c>
      <c r="B11" s="33" t="s">
        <v>499</v>
      </c>
      <c r="C11" s="33" t="s">
        <v>500</v>
      </c>
      <c r="D11" s="33" t="s">
        <v>387</v>
      </c>
      <c r="E11" s="33" t="s">
        <v>501</v>
      </c>
      <c r="F11" s="33" t="s">
        <v>502</v>
      </c>
      <c r="G11" s="34" t="s">
        <v>503</v>
      </c>
      <c r="H11" s="33" t="s">
        <v>504</v>
      </c>
      <c r="I11" s="33" t="s">
        <v>505</v>
      </c>
      <c r="J11" s="33" t="s">
        <v>174</v>
      </c>
      <c r="K11" s="33" t="s">
        <v>506</v>
      </c>
    </row>
    <row r="12" customFormat="false" ht="73.5" hidden="false" customHeight="true" outlineLevel="0" collapsed="false">
      <c r="A12" s="32" t="s">
        <v>507</v>
      </c>
      <c r="B12" s="33" t="s">
        <v>508</v>
      </c>
      <c r="C12" s="33" t="s">
        <v>509</v>
      </c>
      <c r="D12" s="33" t="s">
        <v>510</v>
      </c>
      <c r="E12" s="33" t="s">
        <v>511</v>
      </c>
      <c r="F12" s="33" t="s">
        <v>512</v>
      </c>
      <c r="G12" s="34" t="s">
        <v>513</v>
      </c>
      <c r="H12" s="33" t="s">
        <v>514</v>
      </c>
      <c r="I12" s="33" t="s">
        <v>515</v>
      </c>
      <c r="J12" s="33" t="s">
        <v>174</v>
      </c>
      <c r="K12" s="33" t="s">
        <v>473</v>
      </c>
    </row>
    <row r="13" customFormat="false" ht="73.5" hidden="false" customHeight="true" outlineLevel="0" collapsed="false">
      <c r="A13" s="32" t="s">
        <v>516</v>
      </c>
      <c r="B13" s="33" t="s">
        <v>517</v>
      </c>
      <c r="C13" s="33" t="s">
        <v>509</v>
      </c>
      <c r="D13" s="33" t="s">
        <v>518</v>
      </c>
      <c r="E13" s="33" t="s">
        <v>519</v>
      </c>
      <c r="F13" s="33" t="s">
        <v>520</v>
      </c>
      <c r="G13" s="34" t="s">
        <v>521</v>
      </c>
      <c r="H13" s="33" t="s">
        <v>522</v>
      </c>
      <c r="I13" s="33" t="s">
        <v>523</v>
      </c>
      <c r="J13" s="33" t="s">
        <v>174</v>
      </c>
      <c r="K13" s="33" t="s">
        <v>524</v>
      </c>
    </row>
    <row r="14" customFormat="false" ht="73.5" hidden="false" customHeight="true" outlineLevel="0" collapsed="false">
      <c r="A14" s="32" t="s">
        <v>525</v>
      </c>
      <c r="B14" s="33" t="s">
        <v>526</v>
      </c>
      <c r="C14" s="33" t="s">
        <v>483</v>
      </c>
      <c r="D14" s="33" t="s">
        <v>527</v>
      </c>
      <c r="E14" s="33" t="s">
        <v>528</v>
      </c>
      <c r="F14" s="33" t="s">
        <v>529</v>
      </c>
      <c r="G14" s="34" t="s">
        <v>521</v>
      </c>
      <c r="H14" s="33" t="s">
        <v>530</v>
      </c>
      <c r="I14" s="33" t="s">
        <v>531</v>
      </c>
      <c r="J14" s="33" t="s">
        <v>366</v>
      </c>
      <c r="K14" s="33" t="s">
        <v>473</v>
      </c>
    </row>
    <row r="15" customFormat="false" ht="73.5" hidden="false" customHeight="true" outlineLevel="0" collapsed="false">
      <c r="A15" s="32" t="s">
        <v>532</v>
      </c>
      <c r="B15" s="33" t="s">
        <v>533</v>
      </c>
      <c r="C15" s="33" t="s">
        <v>451</v>
      </c>
      <c r="D15" s="33" t="s">
        <v>534</v>
      </c>
      <c r="E15" s="33" t="s">
        <v>535</v>
      </c>
      <c r="F15" s="33" t="s">
        <v>536</v>
      </c>
      <c r="G15" s="34" t="s">
        <v>521</v>
      </c>
      <c r="H15" s="33" t="s">
        <v>537</v>
      </c>
      <c r="I15" s="33" t="s">
        <v>538</v>
      </c>
      <c r="J15" s="33" t="s">
        <v>174</v>
      </c>
      <c r="K15" s="33" t="s">
        <v>473</v>
      </c>
    </row>
    <row r="16" customFormat="false" ht="73.5" hidden="false" customHeight="true" outlineLevel="0" collapsed="false">
      <c r="A16" s="32" t="s">
        <v>539</v>
      </c>
      <c r="B16" s="33" t="s">
        <v>69</v>
      </c>
      <c r="C16" s="33" t="s">
        <v>425</v>
      </c>
      <c r="D16" s="33" t="s">
        <v>540</v>
      </c>
      <c r="E16" s="33" t="s">
        <v>541</v>
      </c>
      <c r="F16" s="33" t="s">
        <v>542</v>
      </c>
      <c r="G16" s="34" t="s">
        <v>454</v>
      </c>
      <c r="H16" s="33" t="s">
        <v>543</v>
      </c>
      <c r="I16" s="33" t="s">
        <v>544</v>
      </c>
      <c r="J16" s="33" t="s">
        <v>174</v>
      </c>
      <c r="K16" s="33" t="s">
        <v>545</v>
      </c>
    </row>
    <row r="18" customFormat="false" ht="19.5" hidden="false" customHeight="true" outlineLevel="0" collapsed="false">
      <c r="A18" s="43" t="str">
        <f aca="false">"Controls run: "&amp;COUNTA(A5:A16)&amp;"   |   PASSED: "&amp;COUNTIF(G5:G16,"PASSED")&amp;"   |   CONDITIONAL: "&amp;COUNTIF(G5:G16,"CONDITIONAL")&amp;"   |   PENDING_NOT_DUE: "&amp;COUNTIF(G5:G16,"PENDING_NOT_DUE")&amp;"   |   TRIGGER_INDICATED: "&amp;COUNTIF(G5:G16,"TRIGGER_INDICATED")&amp;"   |   PM_JUDGEMENT: "&amp;COUNTIF(G5:G16,"PM_JUDGEMENT")</f>
        <v>Controls run: 12   |   PASSED: 5   |   CONDITIONAL: 1   |   PENDING_NOT_DUE: 1   |   TRIGGER_INDICATED: 0   |   PM_JUDGEMENT: 3</v>
      </c>
      <c r="B18" s="43"/>
      <c r="C18" s="43"/>
      <c r="D18" s="43"/>
      <c r="E18" s="43"/>
      <c r="F18" s="43"/>
      <c r="G18" s="43"/>
      <c r="H18" s="43"/>
      <c r="I18" s="43"/>
      <c r="J18" s="43"/>
      <c r="K18" s="43"/>
    </row>
    <row r="19" customFormat="false" ht="33.75" hidden="false" customHeight="true" outlineLevel="0" collapsed="false">
      <c r="A19" s="44" t="s">
        <v>546</v>
      </c>
      <c r="B19" s="44"/>
      <c r="C19" s="44"/>
      <c r="D19" s="44"/>
      <c r="E19" s="44"/>
      <c r="F19" s="44"/>
      <c r="G19" s="44"/>
      <c r="H19" s="44"/>
      <c r="I19" s="44"/>
      <c r="J19" s="44"/>
      <c r="K19" s="44"/>
    </row>
  </sheetData>
  <autoFilter ref="A4:K4"/>
  <mergeCells count="4">
    <mergeCell ref="A1:K1"/>
    <mergeCell ref="A2:K2"/>
    <mergeCell ref="A18:K18"/>
    <mergeCell ref="A19:K19"/>
  </mergeCells>
  <conditionalFormatting sqref="G5:G16">
    <cfRule type="cellIs" priority="2" operator="equal" aboveAverage="0" equalAverage="0" bottom="0" percent="0" rank="0" text="" dxfId="6">
      <formula>"PASSED"</formula>
    </cfRule>
    <cfRule type="cellIs" priority="3" operator="equal" aboveAverage="0" equalAverage="0" bottom="0" percent="0" rank="0" text="" dxfId="6">
      <formula>"NOT_TRIGGERED"</formula>
    </cfRule>
    <cfRule type="cellIs" priority="4" operator="equal" aboveAverage="0" equalAverage="0" bottom="0" percent="0" rank="0" text="" dxfId="7">
      <formula>"CONDITIONAL"</formula>
    </cfRule>
    <cfRule type="cellIs" priority="5" operator="equal" aboveAverage="0" equalAverage="0" bottom="0" percent="0" rank="0" text="" dxfId="7">
      <formula>"PENDING_NOT_DUE"</formula>
    </cfRule>
    <cfRule type="cellIs" priority="6" operator="equal" aboveAverage="0" equalAverage="0" bottom="0" percent="0" rank="0" text="" dxfId="9">
      <formula>"EVIDENCED_PM_DETERMINATION"</formula>
    </cfRule>
    <cfRule type="cellIs" priority="7" operator="equal" aboveAverage="0" equalAverage="0" bottom="0" percent="0" rank="0" text="" dxfId="9">
      <formula>"PM_JUDGEMENT"</formula>
    </cfRule>
    <cfRule type="cellIs" priority="8" operator="equal" aboveAverage="0" equalAverage="0" bottom="0" percent="0" rank="0" text="" dxfId="8">
      <formula>"TRIGGER_INDICATED"</formula>
    </cfRule>
  </conditionalFormatting>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86"/>
    <col collapsed="false" customWidth="true" hidden="false" outlineLevel="0" max="4" min="4" style="0" width="28"/>
    <col collapsed="false" customWidth="true" hidden="false" outlineLevel="0" max="5" min="5" style="0" width="66"/>
  </cols>
  <sheetData>
    <row r="1" customFormat="false" ht="25.5" hidden="false" customHeight="true" outlineLevel="0" collapsed="false">
      <c r="A1" s="17" t="s">
        <v>547</v>
      </c>
      <c r="B1" s="17"/>
      <c r="C1" s="17"/>
      <c r="D1" s="17"/>
      <c r="E1" s="17"/>
    </row>
    <row r="2" customFormat="false" ht="18" hidden="false" customHeight="true" outlineLevel="0" collapsed="false">
      <c r="A2" s="18" t="s">
        <v>548</v>
      </c>
      <c r="B2" s="18"/>
      <c r="C2" s="18"/>
      <c r="D2" s="18"/>
      <c r="E2" s="18"/>
    </row>
    <row r="4" customFormat="false" ht="30" hidden="false" customHeight="true" outlineLevel="0" collapsed="false">
      <c r="A4" s="19" t="s">
        <v>549</v>
      </c>
      <c r="B4" s="19" t="s">
        <v>441</v>
      </c>
      <c r="C4" s="19" t="s">
        <v>550</v>
      </c>
      <c r="D4" s="19" t="s">
        <v>551</v>
      </c>
      <c r="E4" s="19" t="s">
        <v>552</v>
      </c>
    </row>
    <row r="5" customFormat="false" ht="84" hidden="false" customHeight="true" outlineLevel="0" collapsed="false">
      <c r="A5" s="33" t="s">
        <v>553</v>
      </c>
      <c r="B5" s="35" t="s">
        <v>507</v>
      </c>
      <c r="C5" s="33" t="s">
        <v>554</v>
      </c>
      <c r="D5" s="32" t="s">
        <v>513</v>
      </c>
      <c r="E5" s="33" t="s">
        <v>555</v>
      </c>
    </row>
    <row r="6" customFormat="false" ht="84" hidden="false" customHeight="true" outlineLevel="0" collapsed="false">
      <c r="A6" s="33" t="s">
        <v>556</v>
      </c>
      <c r="B6" s="35" t="s">
        <v>516</v>
      </c>
      <c r="C6" s="33" t="s">
        <v>557</v>
      </c>
      <c r="D6" s="32" t="s">
        <v>558</v>
      </c>
      <c r="E6" s="33" t="s">
        <v>559</v>
      </c>
    </row>
    <row r="7" customFormat="false" ht="84" hidden="false" customHeight="true" outlineLevel="0" collapsed="false">
      <c r="A7" s="33" t="s">
        <v>560</v>
      </c>
      <c r="B7" s="35" t="s">
        <v>525</v>
      </c>
      <c r="C7" s="33" t="s">
        <v>561</v>
      </c>
      <c r="D7" s="32" t="s">
        <v>558</v>
      </c>
      <c r="E7" s="33" t="s">
        <v>562</v>
      </c>
    </row>
    <row r="8" customFormat="false" ht="84" hidden="false" customHeight="true" outlineLevel="0" collapsed="false">
      <c r="A8" s="33" t="s">
        <v>563</v>
      </c>
      <c r="B8" s="35" t="s">
        <v>532</v>
      </c>
      <c r="C8" s="33" t="s">
        <v>564</v>
      </c>
      <c r="D8" s="32" t="s">
        <v>558</v>
      </c>
      <c r="E8" s="33" t="s">
        <v>565</v>
      </c>
    </row>
    <row r="10" customFormat="false" ht="15" hidden="false" customHeight="false" outlineLevel="0" collapsed="false">
      <c r="A10" s="45" t="str">
        <f aca="false">"Trigger checks reported: "&amp;COUNTA(A5:A8)&amp;"   |   NOT_TRIGGERED: "&amp;COUNTIF(D5:D8,"NOT_TRIGGERED")&amp;"   |   TRIGGER_INDICATED: "&amp;COUNTIF(D5:D8,"TRIGGER_INDICATED")&amp;"   |   PROJECT MANAGER JUDGEMENT: "&amp;COUNTIF(D5:D8,"PROJECT MANAGER JUDGEMENT")</f>
        <v>Trigger checks reported: 4   |   NOT_TRIGGERED: 1   |   TRIGGER_INDICATED: 0   |   PROJECT MANAGER JUDGEMENT: 3</v>
      </c>
      <c r="B10" s="45"/>
      <c r="C10" s="45"/>
      <c r="D10" s="45"/>
      <c r="E10" s="45"/>
    </row>
    <row r="11" customFormat="false" ht="30" hidden="false" customHeight="true" outlineLevel="0" collapsed="false">
      <c r="A11" s="46" t="s">
        <v>566</v>
      </c>
      <c r="B11" s="46"/>
      <c r="C11" s="46"/>
      <c r="D11" s="46"/>
      <c r="E11" s="46"/>
    </row>
  </sheetData>
  <autoFilter ref="A4:E4"/>
  <mergeCells count="4">
    <mergeCell ref="A1:E1"/>
    <mergeCell ref="A2:E2"/>
    <mergeCell ref="A10:E10"/>
    <mergeCell ref="A11:E11"/>
  </mergeCells>
  <conditionalFormatting sqref="D5:D8">
    <cfRule type="cellIs" priority="2" operator="equal" aboveAverage="0" equalAverage="0" bottom="0" percent="0" rank="0" text="" dxfId="6">
      <formula>"NOT_TRIGGERED"</formula>
    </cfRule>
    <cfRule type="cellIs" priority="3" operator="equal" aboveAverage="0" equalAverage="0" bottom="0" percent="0" rank="0" text="" dxfId="8">
      <formula>"TRIGGER_INDICATED"</formula>
    </cfRule>
    <cfRule type="cellIs" priority="4" operator="equal" aboveAverage="0" equalAverage="0" bottom="0" percent="0" rank="0" text="" dxfId="9">
      <formula>"PROJECT MANAGER JUDGEMENT"</formula>
    </cfRule>
  </conditionalFormatting>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4"/>
    <col collapsed="false" customWidth="true" hidden="false" outlineLevel="0" max="3" min="3" style="0" width="32"/>
    <col collapsed="false" customWidth="true" hidden="false" outlineLevel="0" max="4" min="4" style="0" width="14"/>
    <col collapsed="false" customWidth="true" hidden="false" outlineLevel="0" max="5" min="5" style="0" width="44"/>
    <col collapsed="false" customWidth="true" hidden="false" outlineLevel="0" max="6" min="6" style="0" width="14"/>
    <col collapsed="false" customWidth="true" hidden="false" outlineLevel="0" max="7" min="7" style="0" width="30"/>
    <col collapsed="false" customWidth="true" hidden="false" outlineLevel="0" max="8" min="8" style="0" width="34"/>
    <col collapsed="false" customWidth="true" hidden="false" outlineLevel="0" max="10" min="9" style="0" width="10"/>
  </cols>
  <sheetData>
    <row r="1" customFormat="false" ht="25.5" hidden="false" customHeight="true" outlineLevel="0" collapsed="false">
      <c r="A1" s="17" t="s">
        <v>567</v>
      </c>
      <c r="B1" s="17"/>
      <c r="C1" s="17"/>
      <c r="D1" s="17"/>
      <c r="E1" s="17"/>
      <c r="F1" s="17"/>
      <c r="G1" s="17"/>
      <c r="H1" s="17"/>
      <c r="I1" s="17"/>
      <c r="J1" s="17"/>
    </row>
    <row r="2" customFormat="false" ht="18" hidden="false" customHeight="true" outlineLevel="0" collapsed="false">
      <c r="A2" s="18" t="s">
        <v>568</v>
      </c>
      <c r="B2" s="18"/>
      <c r="C2" s="18"/>
      <c r="D2" s="18"/>
      <c r="E2" s="18"/>
      <c r="F2" s="18"/>
      <c r="G2" s="18"/>
      <c r="H2" s="18"/>
      <c r="I2" s="18"/>
      <c r="J2" s="18"/>
    </row>
    <row r="4" customFormat="false" ht="18" hidden="false" customHeight="true" outlineLevel="0" collapsed="false">
      <c r="A4" s="47" t="s">
        <v>569</v>
      </c>
      <c r="B4" s="47"/>
      <c r="C4" s="47"/>
      <c r="D4" s="47"/>
      <c r="E4" s="47"/>
      <c r="F4" s="47"/>
      <c r="G4" s="47"/>
      <c r="H4" s="47"/>
      <c r="I4" s="47"/>
      <c r="J4" s="47"/>
    </row>
    <row r="5" customFormat="false" ht="30" hidden="false" customHeight="true" outlineLevel="0" collapsed="false">
      <c r="A5" s="19" t="s">
        <v>570</v>
      </c>
      <c r="B5" s="19" t="s">
        <v>571</v>
      </c>
      <c r="C5" s="19" t="s">
        <v>572</v>
      </c>
      <c r="D5" s="19" t="s">
        <v>403</v>
      </c>
      <c r="E5" s="19" t="s">
        <v>445</v>
      </c>
      <c r="F5" s="19" t="s">
        <v>358</v>
      </c>
      <c r="G5" s="19" t="s">
        <v>573</v>
      </c>
      <c r="H5" s="19" t="s">
        <v>359</v>
      </c>
      <c r="I5" s="19" t="s">
        <v>574</v>
      </c>
      <c r="J5" s="19" t="s">
        <v>575</v>
      </c>
    </row>
    <row r="6" customFormat="false" ht="116.4" hidden="false" customHeight="false" outlineLevel="0" collapsed="false">
      <c r="A6" s="32" t="s">
        <v>576</v>
      </c>
      <c r="B6" s="32" t="s">
        <v>473</v>
      </c>
      <c r="C6" s="33" t="s">
        <v>577</v>
      </c>
      <c r="D6" s="33" t="s">
        <v>578</v>
      </c>
      <c r="E6" s="33" t="s">
        <v>579</v>
      </c>
      <c r="F6" s="33" t="s">
        <v>580</v>
      </c>
      <c r="G6" s="35" t="s">
        <v>581</v>
      </c>
      <c r="H6" s="33" t="s">
        <v>582</v>
      </c>
      <c r="I6" s="33" t="s">
        <v>583</v>
      </c>
      <c r="J6" s="33" t="s">
        <v>584</v>
      </c>
    </row>
    <row r="7" customFormat="false" ht="116.4" hidden="false" customHeight="false" outlineLevel="0" collapsed="false">
      <c r="A7" s="32" t="s">
        <v>585</v>
      </c>
      <c r="B7" s="32" t="s">
        <v>473</v>
      </c>
      <c r="C7" s="33" t="s">
        <v>586</v>
      </c>
      <c r="D7" s="33" t="s">
        <v>587</v>
      </c>
      <c r="E7" s="33" t="s">
        <v>588</v>
      </c>
      <c r="F7" s="33" t="s">
        <v>211</v>
      </c>
      <c r="G7" s="35" t="s">
        <v>581</v>
      </c>
      <c r="H7" s="33" t="s">
        <v>582</v>
      </c>
      <c r="I7" s="33" t="s">
        <v>583</v>
      </c>
      <c r="J7" s="33" t="s">
        <v>584</v>
      </c>
    </row>
    <row r="8" customFormat="false" ht="126.85" hidden="false" customHeight="false" outlineLevel="0" collapsed="false">
      <c r="A8" s="32" t="s">
        <v>589</v>
      </c>
      <c r="B8" s="32" t="s">
        <v>457</v>
      </c>
      <c r="C8" s="33" t="s">
        <v>590</v>
      </c>
      <c r="D8" s="33" t="s">
        <v>591</v>
      </c>
      <c r="E8" s="33" t="s">
        <v>592</v>
      </c>
      <c r="F8" s="33" t="s">
        <v>25</v>
      </c>
      <c r="G8" s="35" t="s">
        <v>389</v>
      </c>
      <c r="H8" s="33" t="s">
        <v>593</v>
      </c>
      <c r="I8" s="33" t="s">
        <v>594</v>
      </c>
      <c r="J8" s="33" t="s">
        <v>595</v>
      </c>
    </row>
    <row r="9" customFormat="false" ht="85.05" hidden="false" customHeight="false" outlineLevel="0" collapsed="false">
      <c r="A9" s="32" t="s">
        <v>596</v>
      </c>
      <c r="B9" s="32" t="s">
        <v>457</v>
      </c>
      <c r="C9" s="33" t="s">
        <v>597</v>
      </c>
      <c r="D9" s="33" t="s">
        <v>598</v>
      </c>
      <c r="E9" s="33" t="s">
        <v>599</v>
      </c>
      <c r="F9" s="33" t="s">
        <v>211</v>
      </c>
      <c r="G9" s="35" t="s">
        <v>581</v>
      </c>
      <c r="H9" s="33" t="s">
        <v>582</v>
      </c>
      <c r="I9" s="33" t="s">
        <v>583</v>
      </c>
      <c r="J9" s="33" t="s">
        <v>600</v>
      </c>
    </row>
    <row r="10" customFormat="false" ht="116.4" hidden="false" customHeight="false" outlineLevel="0" collapsed="false">
      <c r="A10" s="32" t="s">
        <v>601</v>
      </c>
      <c r="B10" s="32" t="s">
        <v>457</v>
      </c>
      <c r="C10" s="33" t="s">
        <v>602</v>
      </c>
      <c r="D10" s="33" t="s">
        <v>603</v>
      </c>
      <c r="E10" s="33" t="s">
        <v>604</v>
      </c>
      <c r="F10" s="33" t="s">
        <v>128</v>
      </c>
      <c r="G10" s="35" t="s">
        <v>581</v>
      </c>
      <c r="H10" s="33" t="s">
        <v>582</v>
      </c>
      <c r="I10" s="33" t="s">
        <v>583</v>
      </c>
      <c r="J10" s="33" t="s">
        <v>605</v>
      </c>
    </row>
    <row r="11" customFormat="false" ht="18" hidden="false" customHeight="true" outlineLevel="0" collapsed="false">
      <c r="A11" s="47" t="s">
        <v>606</v>
      </c>
      <c r="B11" s="47"/>
      <c r="C11" s="47"/>
      <c r="D11" s="47"/>
      <c r="E11" s="47"/>
      <c r="F11" s="47"/>
      <c r="G11" s="47"/>
      <c r="H11" s="47"/>
      <c r="I11" s="47"/>
      <c r="J11" s="47"/>
    </row>
    <row r="12" customFormat="false" ht="30" hidden="false" customHeight="true" outlineLevel="0" collapsed="false">
      <c r="A12" s="19" t="s">
        <v>570</v>
      </c>
      <c r="B12" s="19" t="s">
        <v>571</v>
      </c>
      <c r="C12" s="19" t="s">
        <v>572</v>
      </c>
      <c r="D12" s="19" t="s">
        <v>403</v>
      </c>
      <c r="E12" s="19" t="s">
        <v>445</v>
      </c>
      <c r="F12" s="19" t="s">
        <v>358</v>
      </c>
      <c r="G12" s="19" t="s">
        <v>573</v>
      </c>
      <c r="H12" s="19" t="s">
        <v>359</v>
      </c>
      <c r="I12" s="19" t="s">
        <v>574</v>
      </c>
      <c r="J12" s="19" t="s">
        <v>575</v>
      </c>
    </row>
    <row r="13" customFormat="false" ht="105.95" hidden="false" customHeight="false" outlineLevel="0" collapsed="false">
      <c r="A13" s="32" t="s">
        <v>607</v>
      </c>
      <c r="B13" s="32" t="s">
        <v>457</v>
      </c>
      <c r="C13" s="33" t="s">
        <v>608</v>
      </c>
      <c r="D13" s="33" t="s">
        <v>609</v>
      </c>
      <c r="E13" s="33" t="s">
        <v>610</v>
      </c>
      <c r="F13" s="33" t="s">
        <v>611</v>
      </c>
      <c r="G13" s="35" t="s">
        <v>581</v>
      </c>
      <c r="H13" s="33" t="s">
        <v>582</v>
      </c>
      <c r="I13" s="33" t="s">
        <v>583</v>
      </c>
      <c r="J13" s="33" t="s">
        <v>612</v>
      </c>
    </row>
    <row r="14" customFormat="false" ht="294" hidden="false" customHeight="false" outlineLevel="0" collapsed="false">
      <c r="A14" s="32" t="s">
        <v>613</v>
      </c>
      <c r="B14" s="32" t="s">
        <v>457</v>
      </c>
      <c r="C14" s="33" t="s">
        <v>614</v>
      </c>
      <c r="D14" s="33" t="s">
        <v>615</v>
      </c>
      <c r="E14" s="33" t="s">
        <v>616</v>
      </c>
      <c r="F14" s="33" t="s">
        <v>25</v>
      </c>
      <c r="G14" s="35" t="s">
        <v>581</v>
      </c>
      <c r="H14" s="33" t="s">
        <v>617</v>
      </c>
      <c r="I14" s="33" t="s">
        <v>594</v>
      </c>
      <c r="J14" s="33" t="s">
        <v>618</v>
      </c>
    </row>
    <row r="15" customFormat="false" ht="126.85" hidden="false" customHeight="false" outlineLevel="0" collapsed="false">
      <c r="A15" s="32" t="s">
        <v>619</v>
      </c>
      <c r="B15" s="32" t="s">
        <v>620</v>
      </c>
      <c r="C15" s="33" t="s">
        <v>621</v>
      </c>
      <c r="D15" s="33" t="s">
        <v>622</v>
      </c>
      <c r="E15" s="33" t="s">
        <v>623</v>
      </c>
      <c r="F15" s="33" t="s">
        <v>624</v>
      </c>
      <c r="G15" s="35" t="s">
        <v>581</v>
      </c>
      <c r="H15" s="33" t="s">
        <v>582</v>
      </c>
      <c r="I15" s="33" t="s">
        <v>583</v>
      </c>
      <c r="J15" s="33" t="s">
        <v>625</v>
      </c>
    </row>
    <row r="16" customFormat="false" ht="15" hidden="false" customHeight="false" outlineLevel="0" collapsed="false">
      <c r="A16" s="36"/>
      <c r="B16" s="25" t="s">
        <v>626</v>
      </c>
      <c r="C16" s="25" t="str">
        <f aca="false">"Total assurance exceptions: "&amp;COUNTA(A6,A7,A8,A9,A10,A13,A14,A15)&amp;"   |   Critical: "&amp;COUNTIF(B6:B15,"Critical")&amp;"   |   Major: "&amp;COUNTIF(B6:B15,"Major")&amp;"   |   Minor: "&amp;COUNTIF(B6:B15,"Minor")</f>
        <v>Total assurance exceptions: 8   |   Critical: 2   |   Major: 5   |   Minor: 1</v>
      </c>
      <c r="D16" s="36"/>
      <c r="E16" s="36"/>
      <c r="F16" s="36"/>
      <c r="G16" s="36"/>
      <c r="H16" s="36"/>
      <c r="I16" s="36"/>
      <c r="J16" s="36"/>
    </row>
    <row r="17" customFormat="false" ht="15" hidden="false" customHeight="true" outlineLevel="0" collapsed="false">
      <c r="A17" s="21" t="s">
        <v>627</v>
      </c>
      <c r="B17" s="21"/>
      <c r="C17" s="21"/>
      <c r="D17" s="21"/>
      <c r="E17" s="21"/>
      <c r="F17" s="21"/>
      <c r="G17" s="21"/>
      <c r="H17" s="21"/>
      <c r="I17" s="21"/>
      <c r="J17" s="21"/>
    </row>
    <row r="19" customFormat="false" ht="15" hidden="false" customHeight="false" outlineLevel="0" collapsed="false">
      <c r="A19" s="22" t="s">
        <v>628</v>
      </c>
      <c r="B19" s="22"/>
      <c r="C19" s="22"/>
      <c r="D19" s="22"/>
      <c r="E19" s="22"/>
      <c r="F19" s="22"/>
      <c r="G19" s="22"/>
      <c r="H19" s="22"/>
      <c r="I19" s="22"/>
      <c r="J19" s="22"/>
    </row>
    <row r="20" customFormat="false" ht="30" hidden="false" customHeight="true" outlineLevel="0" collapsed="false">
      <c r="A20" s="40" t="s">
        <v>629</v>
      </c>
      <c r="B20" s="40" t="s">
        <v>630</v>
      </c>
      <c r="C20" s="40" t="s">
        <v>358</v>
      </c>
      <c r="D20" s="40" t="s">
        <v>573</v>
      </c>
      <c r="E20" s="40" t="s">
        <v>359</v>
      </c>
      <c r="F20" s="40" t="s">
        <v>631</v>
      </c>
      <c r="G20" s="40" t="s">
        <v>574</v>
      </c>
      <c r="H20" s="40" t="s">
        <v>632</v>
      </c>
      <c r="I20" s="40"/>
      <c r="J20" s="40"/>
    </row>
    <row r="21" customFormat="false" ht="22.35" hidden="false" customHeight="false" outlineLevel="0" collapsed="false">
      <c r="A21" s="32" t="s">
        <v>633</v>
      </c>
      <c r="B21" s="33" t="s">
        <v>634</v>
      </c>
      <c r="C21" s="33" t="s">
        <v>27</v>
      </c>
      <c r="D21" s="35" t="s">
        <v>581</v>
      </c>
      <c r="E21" s="33" t="s">
        <v>582</v>
      </c>
      <c r="F21" s="33" t="s">
        <v>576</v>
      </c>
      <c r="G21" s="33" t="s">
        <v>583</v>
      </c>
      <c r="H21" s="48"/>
    </row>
    <row r="22" customFormat="false" ht="22.35" hidden="false" customHeight="false" outlineLevel="0" collapsed="false">
      <c r="A22" s="32" t="s">
        <v>635</v>
      </c>
      <c r="B22" s="33" t="s">
        <v>636</v>
      </c>
      <c r="C22" s="33" t="s">
        <v>211</v>
      </c>
      <c r="D22" s="35" t="s">
        <v>581</v>
      </c>
      <c r="E22" s="33" t="s">
        <v>582</v>
      </c>
      <c r="F22" s="33" t="s">
        <v>585</v>
      </c>
      <c r="G22" s="33" t="s">
        <v>583</v>
      </c>
      <c r="H22" s="48"/>
    </row>
    <row r="23" customFormat="false" ht="15" hidden="false" customHeight="false" outlineLevel="0" collapsed="false">
      <c r="A23" s="32" t="s">
        <v>637</v>
      </c>
      <c r="B23" s="33" t="s">
        <v>638</v>
      </c>
      <c r="C23" s="33" t="s">
        <v>211</v>
      </c>
      <c r="D23" s="35" t="s">
        <v>581</v>
      </c>
      <c r="E23" s="33" t="s">
        <v>582</v>
      </c>
      <c r="F23" s="33" t="s">
        <v>596</v>
      </c>
      <c r="G23" s="33" t="s">
        <v>583</v>
      </c>
      <c r="H23" s="48"/>
    </row>
    <row r="24" customFormat="false" ht="22.35" hidden="false" customHeight="false" outlineLevel="0" collapsed="false">
      <c r="A24" s="32" t="s">
        <v>639</v>
      </c>
      <c r="B24" s="33" t="s">
        <v>640</v>
      </c>
      <c r="C24" s="33" t="s">
        <v>128</v>
      </c>
      <c r="D24" s="35" t="s">
        <v>581</v>
      </c>
      <c r="E24" s="33" t="s">
        <v>582</v>
      </c>
      <c r="F24" s="33" t="s">
        <v>601</v>
      </c>
      <c r="G24" s="33" t="s">
        <v>583</v>
      </c>
      <c r="H24" s="48"/>
    </row>
    <row r="25" customFormat="false" ht="22.35" hidden="false" customHeight="false" outlineLevel="0" collapsed="false">
      <c r="A25" s="32" t="s">
        <v>641</v>
      </c>
      <c r="B25" s="33" t="s">
        <v>642</v>
      </c>
      <c r="C25" s="33" t="s">
        <v>624</v>
      </c>
      <c r="D25" s="35" t="s">
        <v>581</v>
      </c>
      <c r="E25" s="33" t="s">
        <v>582</v>
      </c>
      <c r="F25" s="33" t="s">
        <v>607</v>
      </c>
      <c r="G25" s="33" t="s">
        <v>583</v>
      </c>
      <c r="H25" s="48"/>
    </row>
    <row r="26" customFormat="false" ht="22.35" hidden="false" customHeight="false" outlineLevel="0" collapsed="false">
      <c r="A26" s="32" t="s">
        <v>643</v>
      </c>
      <c r="B26" s="33" t="s">
        <v>644</v>
      </c>
      <c r="C26" s="33" t="s">
        <v>624</v>
      </c>
      <c r="D26" s="35" t="s">
        <v>581</v>
      </c>
      <c r="E26" s="33" t="s">
        <v>582</v>
      </c>
      <c r="F26" s="33" t="s">
        <v>619</v>
      </c>
      <c r="G26" s="33" t="s">
        <v>583</v>
      </c>
      <c r="H26" s="48"/>
    </row>
    <row r="27" customFormat="false" ht="22.35" hidden="false" customHeight="false" outlineLevel="0" collapsed="false">
      <c r="A27" s="32" t="s">
        <v>645</v>
      </c>
      <c r="B27" s="33" t="s">
        <v>646</v>
      </c>
      <c r="C27" s="33" t="s">
        <v>25</v>
      </c>
      <c r="D27" s="35" t="s">
        <v>389</v>
      </c>
      <c r="E27" s="33" t="s">
        <v>593</v>
      </c>
      <c r="F27" s="33" t="s">
        <v>589</v>
      </c>
      <c r="G27" s="33" t="s">
        <v>647</v>
      </c>
      <c r="H27" s="48"/>
    </row>
    <row r="28" customFormat="false" ht="32.8" hidden="false" customHeight="false" outlineLevel="0" collapsed="false">
      <c r="A28" s="32" t="s">
        <v>648</v>
      </c>
      <c r="B28" s="33" t="s">
        <v>649</v>
      </c>
      <c r="C28" s="33" t="s">
        <v>25</v>
      </c>
      <c r="D28" s="35" t="s">
        <v>581</v>
      </c>
      <c r="E28" s="33" t="s">
        <v>650</v>
      </c>
      <c r="F28" s="33" t="s">
        <v>613</v>
      </c>
      <c r="G28" s="33" t="s">
        <v>647</v>
      </c>
      <c r="H28" s="48"/>
    </row>
    <row r="30" customFormat="false" ht="15" hidden="false" customHeight="false" outlineLevel="0" collapsed="false">
      <c r="A30" s="49" t="s">
        <v>651</v>
      </c>
      <c r="B30" s="49"/>
      <c r="C30" s="49"/>
      <c r="D30" s="49"/>
      <c r="E30" s="49"/>
      <c r="F30" s="49"/>
      <c r="G30" s="49"/>
      <c r="H30" s="49"/>
      <c r="I30" s="49"/>
      <c r="J30" s="49"/>
    </row>
    <row r="31" customFormat="false" ht="24" hidden="false" customHeight="true" outlineLevel="0" collapsed="false">
      <c r="A31" s="50" t="s">
        <v>652</v>
      </c>
      <c r="B31" s="50"/>
      <c r="C31" s="50"/>
      <c r="D31" s="50"/>
      <c r="E31" s="50"/>
      <c r="F31" s="50"/>
      <c r="G31" s="50"/>
      <c r="H31" s="50"/>
      <c r="I31" s="50"/>
      <c r="J31" s="50"/>
    </row>
    <row r="32" customFormat="false" ht="24" hidden="false" customHeight="true" outlineLevel="0" collapsed="false">
      <c r="A32" s="50" t="s">
        <v>653</v>
      </c>
      <c r="B32" s="50"/>
      <c r="C32" s="50"/>
      <c r="D32" s="50"/>
      <c r="E32" s="50"/>
      <c r="F32" s="50"/>
      <c r="G32" s="50"/>
      <c r="H32" s="50"/>
      <c r="I32" s="50"/>
      <c r="J32" s="50"/>
    </row>
    <row r="33" customFormat="false" ht="24" hidden="false" customHeight="true" outlineLevel="0" collapsed="false">
      <c r="A33" s="50" t="s">
        <v>654</v>
      </c>
      <c r="B33" s="50"/>
      <c r="C33" s="50"/>
      <c r="D33" s="50"/>
      <c r="E33" s="50"/>
      <c r="F33" s="50"/>
      <c r="G33" s="50"/>
      <c r="H33" s="50"/>
      <c r="I33" s="50"/>
      <c r="J33" s="50"/>
    </row>
    <row r="34" customFormat="false" ht="24" hidden="false" customHeight="true" outlineLevel="0" collapsed="false">
      <c r="A34" s="50" t="s">
        <v>655</v>
      </c>
      <c r="B34" s="50"/>
      <c r="C34" s="50"/>
      <c r="D34" s="50"/>
      <c r="E34" s="50"/>
      <c r="F34" s="50"/>
      <c r="G34" s="50"/>
      <c r="H34" s="50"/>
      <c r="I34" s="50"/>
      <c r="J34" s="50"/>
    </row>
  </sheetData>
  <autoFilter ref="A5:J5"/>
  <mergeCells count="11">
    <mergeCell ref="A1:J1"/>
    <mergeCell ref="A2:J2"/>
    <mergeCell ref="A4:J4"/>
    <mergeCell ref="A11:J11"/>
    <mergeCell ref="A17:J17"/>
    <mergeCell ref="A19:J19"/>
    <mergeCell ref="A30:J30"/>
    <mergeCell ref="A31:J31"/>
    <mergeCell ref="A32:J32"/>
    <mergeCell ref="A33:J33"/>
    <mergeCell ref="A34:J34"/>
  </mergeCells>
  <conditionalFormatting sqref="B6 B7 B8 B9 B10 B13 B14 B15">
    <cfRule type="cellIs" priority="2" operator="equal" aboveAverage="0" equalAverage="0" bottom="0" percent="0" rank="0" text="" dxfId="8">
      <formula>"Critical"</formula>
    </cfRule>
    <cfRule type="cellIs" priority="3" operator="equal" aboveAverage="0" equalAverage="0" bottom="0" percent="0" rank="0" text="" dxfId="7">
      <formula>"Major"</formula>
    </cfRule>
    <cfRule type="cellIs" priority="4" operator="equal" aboveAverage="0" equalAverage="0" bottom="0" percent="0" rank="0" text="" dxfId="10">
      <formula>"Minor"</formula>
    </cfRule>
  </conditionalFormatting>
  <dataValidations count="1">
    <dataValidation allowBlank="true" errorStyle="stop" operator="between" prompt="Select an action status" promptTitle="Action status" showDropDown="false" showErrorMessage="false" showInputMessage="false" sqref="G21:G28" type="list">
      <formula1>"Open,In progress,Closed,Reserved to the Project Manager"</formula1>
      <formula2>0</formula2>
    </dataValidation>
  </dataValidation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rowBreaks count="2" manualBreakCount="2">
    <brk id="10" man="true" max="16383" min="0"/>
    <brk id="18" man="true" max="16383" min="0"/>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2"/>
    <col collapsed="false" customWidth="true" hidden="false" outlineLevel="0" max="3" min="3" style="0" width="30"/>
    <col collapsed="false" customWidth="true" hidden="false" outlineLevel="0" max="4" min="4" style="0" width="16"/>
    <col collapsed="false" customWidth="true" hidden="false" outlineLevel="0" max="5" min="5" style="0" width="40"/>
    <col collapsed="false" customWidth="true" hidden="false" outlineLevel="0" max="6" min="6" style="0" width="30"/>
    <col collapsed="false" customWidth="true" hidden="false" outlineLevel="0" max="7" min="7" style="0" width="22"/>
    <col collapsed="false" customWidth="true" hidden="false" outlineLevel="0" max="8" min="8" style="0" width="44"/>
  </cols>
  <sheetData>
    <row r="1" customFormat="false" ht="25.5" hidden="false" customHeight="true" outlineLevel="0" collapsed="false">
      <c r="A1" s="17" t="s">
        <v>656</v>
      </c>
      <c r="B1" s="17"/>
      <c r="C1" s="17"/>
      <c r="D1" s="17"/>
      <c r="E1" s="17"/>
      <c r="F1" s="17"/>
      <c r="G1" s="17"/>
      <c r="H1" s="17"/>
    </row>
    <row r="2" customFormat="false" ht="18" hidden="false" customHeight="true" outlineLevel="0" collapsed="false">
      <c r="A2" s="18" t="s">
        <v>657</v>
      </c>
      <c r="B2" s="18"/>
      <c r="C2" s="18"/>
      <c r="D2" s="18"/>
      <c r="E2" s="18"/>
      <c r="F2" s="18"/>
      <c r="G2" s="18"/>
      <c r="H2" s="18"/>
    </row>
    <row r="4" customFormat="false" ht="30" hidden="false" customHeight="true" outlineLevel="0" collapsed="false">
      <c r="A4" s="19" t="s">
        <v>658</v>
      </c>
      <c r="B4" s="19" t="s">
        <v>659</v>
      </c>
      <c r="C4" s="19" t="s">
        <v>660</v>
      </c>
      <c r="D4" s="19" t="s">
        <v>437</v>
      </c>
      <c r="E4" s="19" t="s">
        <v>359</v>
      </c>
      <c r="F4" s="19" t="s">
        <v>399</v>
      </c>
      <c r="G4" s="19" t="s">
        <v>661</v>
      </c>
      <c r="H4" s="19" t="s">
        <v>662</v>
      </c>
    </row>
    <row r="5" customFormat="false" ht="30" hidden="false" customHeight="true" outlineLevel="0" collapsed="false">
      <c r="A5" s="51" t="s">
        <v>663</v>
      </c>
      <c r="B5" s="16" t="s">
        <v>21</v>
      </c>
      <c r="C5" s="16" t="s">
        <v>27</v>
      </c>
      <c r="D5" s="16" t="s">
        <v>21</v>
      </c>
      <c r="E5" s="16" t="s">
        <v>663</v>
      </c>
      <c r="F5" s="16" t="s">
        <v>254</v>
      </c>
      <c r="G5" s="52"/>
      <c r="H5" s="16" t="s">
        <v>664</v>
      </c>
    </row>
    <row r="6" customFormat="false" ht="30" hidden="false" customHeight="true" outlineLevel="0" collapsed="false">
      <c r="A6" s="51" t="s">
        <v>665</v>
      </c>
      <c r="B6" s="16" t="s">
        <v>21</v>
      </c>
      <c r="C6" s="16" t="s">
        <v>27</v>
      </c>
      <c r="D6" s="16" t="s">
        <v>21</v>
      </c>
      <c r="E6" s="16" t="s">
        <v>666</v>
      </c>
      <c r="F6" s="16" t="s">
        <v>667</v>
      </c>
      <c r="G6" s="52"/>
      <c r="H6" s="16" t="s">
        <v>668</v>
      </c>
    </row>
    <row r="7" customFormat="false" ht="30" hidden="false" customHeight="true" outlineLevel="0" collapsed="false">
      <c r="A7" s="51" t="s">
        <v>55</v>
      </c>
      <c r="B7" s="16" t="s">
        <v>56</v>
      </c>
      <c r="C7" s="16" t="s">
        <v>669</v>
      </c>
      <c r="D7" s="16" t="s">
        <v>21</v>
      </c>
      <c r="E7" s="16" t="s">
        <v>663</v>
      </c>
      <c r="F7" s="16" t="s">
        <v>670</v>
      </c>
      <c r="G7" s="52"/>
      <c r="H7" s="16" t="s">
        <v>671</v>
      </c>
    </row>
    <row r="8" customFormat="false" ht="30" hidden="false" customHeight="true" outlineLevel="0" collapsed="false">
      <c r="A8" s="51" t="s">
        <v>57</v>
      </c>
      <c r="B8" s="16" t="s">
        <v>58</v>
      </c>
      <c r="C8" s="16" t="s">
        <v>669</v>
      </c>
      <c r="D8" s="16" t="s">
        <v>21</v>
      </c>
      <c r="E8" s="16" t="s">
        <v>663</v>
      </c>
      <c r="F8" s="16" t="s">
        <v>670</v>
      </c>
      <c r="G8" s="52"/>
      <c r="H8" s="16" t="s">
        <v>672</v>
      </c>
    </row>
    <row r="9" customFormat="false" ht="30" hidden="false" customHeight="true" outlineLevel="0" collapsed="false">
      <c r="A9" s="51" t="s">
        <v>59</v>
      </c>
      <c r="B9" s="16" t="s">
        <v>60</v>
      </c>
      <c r="C9" s="16" t="s">
        <v>669</v>
      </c>
      <c r="D9" s="16" t="s">
        <v>21</v>
      </c>
      <c r="E9" s="16" t="s">
        <v>663</v>
      </c>
      <c r="F9" s="16" t="s">
        <v>670</v>
      </c>
      <c r="G9" s="52"/>
      <c r="H9" s="16" t="s">
        <v>673</v>
      </c>
    </row>
    <row r="10" customFormat="false" ht="30" hidden="false" customHeight="true" outlineLevel="0" collapsed="false">
      <c r="A10" s="51" t="s">
        <v>674</v>
      </c>
      <c r="B10" s="16" t="s">
        <v>675</v>
      </c>
      <c r="C10" s="16" t="s">
        <v>669</v>
      </c>
      <c r="D10" s="16" t="s">
        <v>21</v>
      </c>
      <c r="E10" s="16" t="s">
        <v>663</v>
      </c>
      <c r="F10" s="16" t="s">
        <v>676</v>
      </c>
      <c r="G10" s="52"/>
      <c r="H10" s="16" t="s">
        <v>677</v>
      </c>
    </row>
    <row r="11" customFormat="false" ht="30" hidden="false" customHeight="true" outlineLevel="0" collapsed="false">
      <c r="A11" s="51" t="s">
        <v>436</v>
      </c>
      <c r="B11" s="16" t="s">
        <v>25</v>
      </c>
      <c r="C11" s="16" t="s">
        <v>174</v>
      </c>
      <c r="D11" s="16"/>
      <c r="E11" s="16" t="s">
        <v>678</v>
      </c>
      <c r="F11" s="16" t="s">
        <v>679</v>
      </c>
      <c r="G11" s="52"/>
      <c r="H11" s="16" t="s">
        <v>680</v>
      </c>
    </row>
    <row r="12" customFormat="false" ht="30" hidden="false" customHeight="true" outlineLevel="0" collapsed="false">
      <c r="A12" s="51" t="s">
        <v>681</v>
      </c>
      <c r="B12" s="16" t="s">
        <v>682</v>
      </c>
      <c r="C12" s="16" t="s">
        <v>174</v>
      </c>
      <c r="D12" s="16"/>
      <c r="E12" s="16" t="s">
        <v>678</v>
      </c>
      <c r="F12" s="16" t="s">
        <v>583</v>
      </c>
      <c r="G12" s="52"/>
      <c r="H12" s="16" t="s">
        <v>683</v>
      </c>
    </row>
    <row r="13" customFormat="false" ht="30" hidden="false" customHeight="true" outlineLevel="0" collapsed="false">
      <c r="A13" s="51" t="s">
        <v>67</v>
      </c>
      <c r="B13" s="16" t="s">
        <v>684</v>
      </c>
      <c r="C13" s="16" t="s">
        <v>174</v>
      </c>
      <c r="D13" s="16" t="s">
        <v>389</v>
      </c>
      <c r="E13" s="16" t="s">
        <v>367</v>
      </c>
      <c r="F13" s="16" t="s">
        <v>685</v>
      </c>
      <c r="G13" s="52"/>
      <c r="H13" s="16" t="s">
        <v>686</v>
      </c>
    </row>
    <row r="14" customFormat="false" ht="30" hidden="false" customHeight="true" outlineLevel="0" collapsed="false">
      <c r="A14" s="51" t="s">
        <v>393</v>
      </c>
      <c r="B14" s="16" t="s">
        <v>687</v>
      </c>
      <c r="C14" s="16" t="s">
        <v>174</v>
      </c>
      <c r="D14" s="16" t="s">
        <v>383</v>
      </c>
      <c r="E14" s="16" t="s">
        <v>367</v>
      </c>
      <c r="F14" s="16" t="s">
        <v>685</v>
      </c>
      <c r="G14" s="52"/>
      <c r="H14" s="16" t="s">
        <v>688</v>
      </c>
    </row>
    <row r="15" customFormat="false" ht="30" hidden="false" customHeight="true" outlineLevel="0" collapsed="false">
      <c r="A15" s="51" t="s">
        <v>63</v>
      </c>
      <c r="B15" s="16" t="s">
        <v>64</v>
      </c>
      <c r="C15" s="16" t="s">
        <v>689</v>
      </c>
      <c r="D15" s="16" t="s">
        <v>581</v>
      </c>
      <c r="E15" s="16" t="s">
        <v>582</v>
      </c>
      <c r="F15" s="16" t="s">
        <v>583</v>
      </c>
      <c r="G15" s="52"/>
      <c r="H15" s="16" t="s">
        <v>690</v>
      </c>
    </row>
    <row r="16" customFormat="false" ht="30" hidden="false" customHeight="true" outlineLevel="0" collapsed="false">
      <c r="A16" s="51" t="s">
        <v>691</v>
      </c>
      <c r="B16" s="16" t="s">
        <v>692</v>
      </c>
      <c r="C16" s="16" t="s">
        <v>689</v>
      </c>
      <c r="D16" s="16" t="s">
        <v>21</v>
      </c>
      <c r="E16" s="16" t="s">
        <v>663</v>
      </c>
      <c r="F16" s="16" t="s">
        <v>324</v>
      </c>
      <c r="G16" s="52"/>
      <c r="H16" s="16" t="s">
        <v>693</v>
      </c>
    </row>
    <row r="17" customFormat="false" ht="30" hidden="false" customHeight="true" outlineLevel="0" collapsed="false">
      <c r="A17" s="51" t="s">
        <v>575</v>
      </c>
      <c r="B17" s="16" t="s">
        <v>694</v>
      </c>
      <c r="C17" s="16" t="s">
        <v>695</v>
      </c>
      <c r="D17" s="16"/>
      <c r="E17" s="16" t="s">
        <v>696</v>
      </c>
      <c r="F17" s="16" t="s">
        <v>583</v>
      </c>
      <c r="G17" s="52"/>
      <c r="H17" s="16" t="s">
        <v>697</v>
      </c>
    </row>
    <row r="18" customFormat="false" ht="30" hidden="false" customHeight="true" outlineLevel="0" collapsed="false">
      <c r="A18" s="51" t="s">
        <v>698</v>
      </c>
      <c r="B18" s="16" t="s">
        <v>699</v>
      </c>
      <c r="C18" s="16" t="s">
        <v>174</v>
      </c>
      <c r="D18" s="16"/>
      <c r="E18" s="16" t="s">
        <v>678</v>
      </c>
      <c r="F18" s="16" t="s">
        <v>700</v>
      </c>
      <c r="G18" s="52"/>
      <c r="H18" s="16" t="s">
        <v>701</v>
      </c>
    </row>
    <row r="20" customFormat="false" ht="27.75" hidden="false" customHeight="true" outlineLevel="0" collapsed="false">
      <c r="A20" s="53" t="s">
        <v>702</v>
      </c>
      <c r="B20" s="53"/>
      <c r="C20" s="53"/>
      <c r="D20" s="53"/>
      <c r="E20" s="53"/>
      <c r="F20" s="53"/>
      <c r="G20" s="53"/>
      <c r="H20" s="53"/>
    </row>
  </sheetData>
  <autoFilter ref="A4:H4"/>
  <mergeCells count="3">
    <mergeCell ref="A1:H1"/>
    <mergeCell ref="A2:H2"/>
    <mergeCell ref="A20:H20"/>
  </mergeCell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28"/>
    <col collapsed="false" customWidth="true" hidden="false" outlineLevel="0" max="5" min="4" style="0" width="52"/>
    <col collapsed="false" customWidth="true" hidden="false" outlineLevel="0" max="6" min="6" style="0" width="48"/>
  </cols>
  <sheetData>
    <row r="1" customFormat="false" ht="25.5" hidden="false" customHeight="true" outlineLevel="0" collapsed="false">
      <c r="A1" s="17" t="s">
        <v>703</v>
      </c>
      <c r="B1" s="17"/>
      <c r="C1" s="17"/>
      <c r="D1" s="17"/>
      <c r="E1" s="17"/>
      <c r="F1" s="17"/>
    </row>
    <row r="2" customFormat="false" ht="18" hidden="false" customHeight="true" outlineLevel="0" collapsed="false">
      <c r="A2" s="18" t="s">
        <v>704</v>
      </c>
      <c r="B2" s="18"/>
      <c r="C2" s="18"/>
      <c r="D2" s="18"/>
      <c r="E2" s="18"/>
      <c r="F2" s="18"/>
    </row>
    <row r="4" customFormat="false" ht="30" hidden="false" customHeight="true" outlineLevel="0" collapsed="false">
      <c r="A4" s="19" t="s">
        <v>76</v>
      </c>
      <c r="B4" s="19" t="s">
        <v>77</v>
      </c>
      <c r="C4" s="19" t="s">
        <v>705</v>
      </c>
      <c r="D4" s="19" t="s">
        <v>706</v>
      </c>
      <c r="E4" s="19" t="s">
        <v>707</v>
      </c>
      <c r="F4" s="19" t="s">
        <v>708</v>
      </c>
    </row>
    <row r="5" customFormat="false" ht="15" hidden="false" customHeight="false" outlineLevel="0" collapsed="false">
      <c r="A5" s="16" t="s">
        <v>85</v>
      </c>
      <c r="B5" s="16" t="s">
        <v>86</v>
      </c>
      <c r="C5" s="16" t="s">
        <v>88</v>
      </c>
      <c r="D5" s="16" t="s">
        <v>709</v>
      </c>
      <c r="E5" s="16" t="s">
        <v>710</v>
      </c>
      <c r="F5" s="16" t="s">
        <v>711</v>
      </c>
    </row>
    <row r="6" customFormat="false" ht="15" hidden="false" customHeight="false" outlineLevel="0" collapsed="false">
      <c r="A6" s="16" t="s">
        <v>92</v>
      </c>
      <c r="B6" s="16" t="s">
        <v>93</v>
      </c>
      <c r="C6" s="16" t="s">
        <v>88</v>
      </c>
      <c r="D6" s="16" t="s">
        <v>712</v>
      </c>
      <c r="E6" s="16" t="s">
        <v>713</v>
      </c>
      <c r="F6" s="16" t="s">
        <v>714</v>
      </c>
    </row>
    <row r="7" customFormat="false" ht="15" hidden="false" customHeight="false" outlineLevel="0" collapsed="false">
      <c r="A7" s="16" t="s">
        <v>97</v>
      </c>
      <c r="B7" s="16" t="s">
        <v>98</v>
      </c>
      <c r="C7" s="16" t="s">
        <v>100</v>
      </c>
      <c r="D7" s="16" t="s">
        <v>715</v>
      </c>
      <c r="E7" s="16" t="s">
        <v>716</v>
      </c>
      <c r="F7" s="16" t="s">
        <v>717</v>
      </c>
    </row>
    <row r="8" customFormat="false" ht="22.35" hidden="false" customHeight="false" outlineLevel="0" collapsed="false">
      <c r="A8" s="16" t="s">
        <v>103</v>
      </c>
      <c r="B8" s="16" t="s">
        <v>104</v>
      </c>
      <c r="C8" s="16" t="s">
        <v>88</v>
      </c>
      <c r="D8" s="16" t="s">
        <v>108</v>
      </c>
      <c r="E8" s="16" t="s">
        <v>107</v>
      </c>
      <c r="F8" s="16" t="s">
        <v>718</v>
      </c>
    </row>
    <row r="9" customFormat="false" ht="15" hidden="false" customHeight="false" outlineLevel="0" collapsed="false">
      <c r="A9" s="16" t="s">
        <v>109</v>
      </c>
      <c r="B9" s="16" t="s">
        <v>110</v>
      </c>
      <c r="C9" s="16" t="s">
        <v>88</v>
      </c>
      <c r="D9" s="16" t="s">
        <v>113</v>
      </c>
      <c r="E9" s="16" t="s">
        <v>719</v>
      </c>
      <c r="F9" s="16" t="s">
        <v>720</v>
      </c>
    </row>
    <row r="10" customFormat="false" ht="15" hidden="false" customHeight="false" outlineLevel="0" collapsed="false">
      <c r="A10" s="16" t="s">
        <v>114</v>
      </c>
      <c r="B10" s="16" t="s">
        <v>115</v>
      </c>
      <c r="C10" s="16" t="s">
        <v>88</v>
      </c>
      <c r="D10" s="16" t="s">
        <v>721</v>
      </c>
      <c r="E10" s="16" t="s">
        <v>722</v>
      </c>
      <c r="F10" s="16" t="s">
        <v>723</v>
      </c>
    </row>
    <row r="11" customFormat="false" ht="15" hidden="false" customHeight="false" outlineLevel="0" collapsed="false">
      <c r="A11" s="16" t="s">
        <v>119</v>
      </c>
      <c r="B11" s="16" t="s">
        <v>120</v>
      </c>
      <c r="C11" s="16" t="s">
        <v>122</v>
      </c>
      <c r="D11" s="16" t="s">
        <v>124</v>
      </c>
      <c r="E11" s="16" t="s">
        <v>724</v>
      </c>
      <c r="F11" s="16" t="s">
        <v>725</v>
      </c>
    </row>
    <row r="12" customFormat="false" ht="15" hidden="false" customHeight="false" outlineLevel="0" collapsed="false">
      <c r="A12" s="16" t="s">
        <v>125</v>
      </c>
      <c r="B12" s="16" t="s">
        <v>126</v>
      </c>
      <c r="C12" s="16" t="s">
        <v>122</v>
      </c>
      <c r="D12" s="16" t="s">
        <v>726</v>
      </c>
      <c r="E12" s="16" t="s">
        <v>727</v>
      </c>
      <c r="F12" s="16" t="s">
        <v>728</v>
      </c>
    </row>
    <row r="13" customFormat="false" ht="15" hidden="false" customHeight="false" outlineLevel="0" collapsed="false">
      <c r="A13" s="16" t="s">
        <v>131</v>
      </c>
      <c r="B13" s="16" t="s">
        <v>132</v>
      </c>
      <c r="C13" s="16" t="s">
        <v>122</v>
      </c>
      <c r="D13" s="16" t="s">
        <v>729</v>
      </c>
      <c r="E13" s="16" t="s">
        <v>730</v>
      </c>
      <c r="F13" s="16" t="s">
        <v>731</v>
      </c>
    </row>
    <row r="14" customFormat="false" ht="15" hidden="false" customHeight="false" outlineLevel="0" collapsed="false">
      <c r="A14" s="16" t="s">
        <v>137</v>
      </c>
      <c r="B14" s="16" t="s">
        <v>138</v>
      </c>
      <c r="C14" s="16" t="s">
        <v>122</v>
      </c>
      <c r="D14" s="16" t="s">
        <v>141</v>
      </c>
      <c r="E14" s="16" t="s">
        <v>140</v>
      </c>
      <c r="F14" s="16" t="s">
        <v>732</v>
      </c>
    </row>
    <row r="15" customFormat="false" ht="15" hidden="false" customHeight="false" outlineLevel="0" collapsed="false">
      <c r="A15" s="16" t="s">
        <v>142</v>
      </c>
      <c r="B15" s="16" t="s">
        <v>143</v>
      </c>
      <c r="C15" s="16" t="s">
        <v>145</v>
      </c>
      <c r="D15" s="16" t="s">
        <v>733</v>
      </c>
      <c r="E15" s="16" t="s">
        <v>734</v>
      </c>
      <c r="F15" s="16" t="s">
        <v>735</v>
      </c>
    </row>
    <row r="16" customFormat="false" ht="15" hidden="false" customHeight="false" outlineLevel="0" collapsed="false">
      <c r="A16" s="16" t="s">
        <v>149</v>
      </c>
      <c r="B16" s="16" t="s">
        <v>150</v>
      </c>
      <c r="C16" s="16" t="s">
        <v>122</v>
      </c>
      <c r="D16" s="16" t="s">
        <v>154</v>
      </c>
      <c r="E16" s="16" t="s">
        <v>736</v>
      </c>
      <c r="F16" s="16" t="s">
        <v>737</v>
      </c>
    </row>
    <row r="17" customFormat="false" ht="15" hidden="false" customHeight="false" outlineLevel="0" collapsed="false">
      <c r="A17" s="16" t="s">
        <v>155</v>
      </c>
      <c r="B17" s="16" t="s">
        <v>156</v>
      </c>
      <c r="C17" s="16" t="s">
        <v>122</v>
      </c>
      <c r="D17" s="16" t="s">
        <v>160</v>
      </c>
      <c r="E17" s="16" t="s">
        <v>738</v>
      </c>
      <c r="F17" s="16" t="s">
        <v>739</v>
      </c>
    </row>
    <row r="18" customFormat="false" ht="15" hidden="false" customHeight="false" outlineLevel="0" collapsed="false">
      <c r="A18" s="16" t="s">
        <v>161</v>
      </c>
      <c r="B18" s="16" t="s">
        <v>162</v>
      </c>
      <c r="C18" s="16" t="s">
        <v>122</v>
      </c>
      <c r="D18" s="16" t="s">
        <v>165</v>
      </c>
      <c r="E18" s="16" t="s">
        <v>164</v>
      </c>
      <c r="F18" s="16" t="s">
        <v>740</v>
      </c>
    </row>
    <row r="19" customFormat="false" ht="15" hidden="false" customHeight="false" outlineLevel="0" collapsed="false">
      <c r="A19" s="16" t="s">
        <v>166</v>
      </c>
      <c r="B19" s="16" t="s">
        <v>167</v>
      </c>
      <c r="C19" s="16" t="s">
        <v>122</v>
      </c>
      <c r="D19" s="16" t="s">
        <v>170</v>
      </c>
      <c r="E19" s="16" t="s">
        <v>467</v>
      </c>
      <c r="F19" s="16" t="s">
        <v>741</v>
      </c>
    </row>
    <row r="20" customFormat="false" ht="15" hidden="false" customHeight="false" outlineLevel="0" collapsed="false">
      <c r="A20" s="16" t="s">
        <v>171</v>
      </c>
      <c r="B20" s="16" t="s">
        <v>172</v>
      </c>
      <c r="C20" s="16" t="s">
        <v>122</v>
      </c>
      <c r="D20" s="16" t="s">
        <v>176</v>
      </c>
      <c r="E20" s="16" t="s">
        <v>175</v>
      </c>
      <c r="F20" s="16" t="s">
        <v>742</v>
      </c>
    </row>
    <row r="21" customFormat="false" ht="15" hidden="false" customHeight="false" outlineLevel="0" collapsed="false">
      <c r="A21" s="16" t="s">
        <v>177</v>
      </c>
      <c r="B21" s="16" t="s">
        <v>178</v>
      </c>
      <c r="C21" s="16" t="s">
        <v>122</v>
      </c>
      <c r="D21" s="16" t="s">
        <v>181</v>
      </c>
      <c r="E21" s="16" t="s">
        <v>743</v>
      </c>
      <c r="F21" s="16" t="s">
        <v>744</v>
      </c>
    </row>
    <row r="22" customFormat="false" ht="15" hidden="false" customHeight="false" outlineLevel="0" collapsed="false">
      <c r="A22" s="16" t="s">
        <v>182</v>
      </c>
      <c r="B22" s="16" t="s">
        <v>183</v>
      </c>
      <c r="C22" s="16" t="s">
        <v>185</v>
      </c>
      <c r="D22" s="16" t="s">
        <v>745</v>
      </c>
      <c r="E22" s="16" t="s">
        <v>186</v>
      </c>
      <c r="F22" s="16" t="s">
        <v>746</v>
      </c>
    </row>
    <row r="23" customFormat="false" ht="15" hidden="false" customHeight="false" outlineLevel="0" collapsed="false">
      <c r="A23" s="16" t="s">
        <v>188</v>
      </c>
      <c r="B23" s="16" t="s">
        <v>189</v>
      </c>
      <c r="C23" s="16" t="s">
        <v>191</v>
      </c>
      <c r="D23" s="16" t="s">
        <v>747</v>
      </c>
      <c r="E23" s="16" t="s">
        <v>748</v>
      </c>
      <c r="F23" s="16" t="s">
        <v>749</v>
      </c>
    </row>
    <row r="24" customFormat="false" ht="15" hidden="false" customHeight="false" outlineLevel="0" collapsed="false">
      <c r="A24" s="16" t="s">
        <v>194</v>
      </c>
      <c r="B24" s="16" t="s">
        <v>195</v>
      </c>
      <c r="C24" s="16" t="s">
        <v>197</v>
      </c>
      <c r="D24" s="16" t="s">
        <v>750</v>
      </c>
      <c r="E24" s="16" t="s">
        <v>751</v>
      </c>
      <c r="F24" s="16" t="s">
        <v>752</v>
      </c>
    </row>
    <row r="25" customFormat="false" ht="22.35" hidden="false" customHeight="false" outlineLevel="0" collapsed="false">
      <c r="A25" s="16" t="s">
        <v>201</v>
      </c>
      <c r="B25" s="16" t="s">
        <v>202</v>
      </c>
      <c r="C25" s="16" t="s">
        <v>204</v>
      </c>
      <c r="D25" s="16" t="s">
        <v>206</v>
      </c>
      <c r="E25" s="16" t="s">
        <v>753</v>
      </c>
      <c r="F25" s="16" t="s">
        <v>754</v>
      </c>
    </row>
    <row r="26" customFormat="false" ht="15" hidden="false" customHeight="false" outlineLevel="0" collapsed="false">
      <c r="A26" s="16" t="s">
        <v>207</v>
      </c>
      <c r="B26" s="16" t="s">
        <v>208</v>
      </c>
      <c r="C26" s="16" t="s">
        <v>210</v>
      </c>
      <c r="D26" s="16" t="s">
        <v>755</v>
      </c>
      <c r="E26" s="16" t="s">
        <v>756</v>
      </c>
      <c r="F26" s="16" t="s">
        <v>757</v>
      </c>
    </row>
    <row r="27" customFormat="false" ht="15" hidden="false" customHeight="false" outlineLevel="0" collapsed="false">
      <c r="A27" s="16" t="s">
        <v>214</v>
      </c>
      <c r="B27" s="16" t="s">
        <v>215</v>
      </c>
      <c r="C27" s="16" t="s">
        <v>217</v>
      </c>
      <c r="D27" s="16" t="s">
        <v>758</v>
      </c>
      <c r="E27" s="16" t="s">
        <v>759</v>
      </c>
      <c r="F27" s="16" t="s">
        <v>760</v>
      </c>
    </row>
    <row r="29" customFormat="false" ht="15" hidden="false" customHeight="true" outlineLevel="0" collapsed="false">
      <c r="A29" s="21" t="s">
        <v>761</v>
      </c>
      <c r="B29" s="21"/>
      <c r="C29" s="21"/>
      <c r="D29" s="21"/>
      <c r="E29" s="21"/>
      <c r="F29" s="21"/>
    </row>
  </sheetData>
  <autoFilter ref="A4:F4"/>
  <mergeCells count="3">
    <mergeCell ref="A1:F1"/>
    <mergeCell ref="A2:F2"/>
    <mergeCell ref="A29:F29"/>
  </mergeCell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&amp;L&amp;"Arial,Regular"&amp;8 WSAE | CE-018 | cut-off 2026-03-31&amp;R&amp;"Arial,Regular"&amp;8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2026-08-23T08:14:59Z</dcterms:created>
  <dc:creator>openpyxl</dc:creator>
  <dc:description/>
  <dc:language>en-US</dc:language>
  <cp:lastModifiedBy/>
  <dcterms:modified xsi:type="dcterms:W3CDTF">2026-08-23T08:15:00Z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