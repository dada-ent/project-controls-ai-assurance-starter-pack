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Dashboard" sheetId="1" state="visible" r:id="rId3"/>
    <sheet name="Evidence Register" sheetId="2" state="visible" r:id="rId4"/>
    <sheet name="Cross-Record Reconciliation" sheetId="3" state="visible" r:id="rId5"/>
    <sheet name="Four-Test Scorecard" sheetId="4" state="visible" r:id="rId6"/>
    <sheet name="NEC4 Control Cross-Reference" sheetId="5" state="visible" r:id="rId7"/>
    <sheet name="Clause 64.1 Triggers" sheetId="6" state="visible" r:id="rId8"/>
    <sheet name="Exceptions and Actions" sheetId="7" state="visible" r:id="rId9"/>
    <sheet name="Decision and Audit Log" sheetId="8" state="visible" r:id="rId10"/>
    <sheet name="Source Citations" sheetId="9" state="visible" r:id="rId11"/>
  </sheets>
  <definedNames>
    <definedName function="false" hidden="true" localSheetId="5" name="_xlnm._FilterDatabase" vbProcedure="false">'Clause 64.1 Triggers'!$A$5:$D$9</definedName>
    <definedName function="false" hidden="true" localSheetId="2" name="_xlnm._FilterDatabase" vbProcedure="false">'Cross-Record Reconciliation'!$A$5:$K$11</definedName>
    <definedName function="false" hidden="true" localSheetId="1" name="_xlnm._FilterDatabase" vbProcedure="false">'Evidence Register'!$A$5:$I$30</definedName>
    <definedName function="false" hidden="true" localSheetId="3" name="_xlnm._FilterDatabase" vbProcedure="false">'Four-Test Scorecard'!$A$5:$I$9</definedName>
    <definedName function="false" hidden="true" localSheetId="4" name="_xlnm._FilterDatabase" vbProcedure="false">'NEC4 Control Cross-Reference'!$A$5:$I$17</definedName>
    <definedName function="false" hidden="true" localSheetId="8" name="_xlnm._FilterDatabase" vbProcedure="false">'Source Citations'!$A$5:$E$28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<sst xmlns="http://schemas.openxmlformats.org/spreadsheetml/2006/main" count="738" uniqueCount="446">
  <si>
    <t xml:space="preserve">CE-018 PROJECT CONTROLS ASSURANCE — EXECUTIVE DASHBOARD</t>
  </si>
  <si>
    <t xml:space="preserve">Westbridge Station Access and Enabling Works (WSAE) — CE-018: Restricted access to the Platform 4 worksite — Rev 3.0 — FICTIONAL DEMONSTRATION DATA</t>
  </si>
  <si>
    <t xml:space="preserve">Project</t>
  </si>
  <si>
    <t xml:space="preserve">Westbridge Station Access and Enabling Works (WSAE)</t>
  </si>
  <si>
    <t xml:space="preserve">Client</t>
  </si>
  <si>
    <t xml:space="preserve">Westbridge Transit Authority</t>
  </si>
  <si>
    <t xml:space="preserve">Contractor</t>
  </si>
  <si>
    <t xml:space="preserve">Northstar Civil Engineering Ltd</t>
  </si>
  <si>
    <t xml:space="preserve">Interface organisation</t>
  </si>
  <si>
    <t xml:space="preserve">CityRail Operations</t>
  </si>
  <si>
    <t xml:space="preserve">Event</t>
  </si>
  <si>
    <t xml:space="preserve">CE-018 — Restricted access to the Platform 4 worksite</t>
  </si>
  <si>
    <t xml:space="preserve">Related early warning</t>
  </si>
  <si>
    <t xml:space="preserve">EW-006 — separate earlier warning concerning the same access issue</t>
  </si>
  <si>
    <t xml:space="preserve">Scenario</t>
  </si>
  <si>
    <t xml:space="preserve">S1 — NEC4 ECC demonstration</t>
  </si>
  <si>
    <t xml:space="preserve">Assessment cut-off</t>
  </si>
  <si>
    <t xml:space="preserve">2026-03-31</t>
  </si>
  <si>
    <t xml:space="preserve">Decision owner</t>
  </si>
  <si>
    <t xml:space="preserve">Elena Brooks — NEC4 Project Manager</t>
  </si>
  <si>
    <t xml:space="preserve">Control owner</t>
  </si>
  <si>
    <t xml:space="preserve">Sofia Khan — Project Controls Lead</t>
  </si>
  <si>
    <t xml:space="preserve">Classification</t>
  </si>
  <si>
    <t xml:space="preserve">Fictional Demonstration Data</t>
  </si>
  <si>
    <t xml:space="preserve">Report status / revision</t>
  </si>
  <si>
    <t xml:space="preserve">ISSUED FOR PROJECT MANAGER REVIEW (IFR) — NOT APPROVED — Rev 3.0</t>
  </si>
  <si>
    <t xml:space="preserve">FOUR-TEST TILES</t>
  </si>
  <si>
    <t xml:space="preserve">Test</t>
  </si>
  <si>
    <t xml:space="preserve">Test name</t>
  </si>
  <si>
    <t xml:space="preserve">Score</t>
  </si>
  <si>
    <t xml:space="preserve">Status</t>
  </si>
  <si>
    <t xml:space="preserve">Critical Failure?</t>
  </si>
  <si>
    <t xml:space="preserve">Owner</t>
  </si>
  <si>
    <t xml:space="preserve">T1</t>
  </si>
  <si>
    <t xml:space="preserve">Evidence and version</t>
  </si>
  <si>
    <t xml:space="preserve">Sofia Khan</t>
  </si>
  <si>
    <t xml:space="preserve">T2</t>
  </si>
  <si>
    <t xml:space="preserve">Records agree</t>
  </si>
  <si>
    <t xml:space="preserve">T3</t>
  </si>
  <si>
    <t xml:space="preserve">Configured NEC4 route and clock</t>
  </si>
  <si>
    <t xml:space="preserve">Elena Brooks (judgement) / Sofia Khan (evidence compilation)</t>
  </si>
  <si>
    <t xml:space="preserve">T4</t>
  </si>
  <si>
    <t xml:space="preserve">Human authority</t>
  </si>
  <si>
    <t xml:space="preserve">Total score (of 8)</t>
  </si>
  <si>
    <t xml:space="preserve">Critical-failure count</t>
  </si>
  <si>
    <t xml:space="preserve">Recommended route</t>
  </si>
  <si>
    <t xml:space="preserve">Schedule effect (working days)</t>
  </si>
  <si>
    <t xml:space="preserve">Commercial exposure (GBP)</t>
  </si>
  <si>
    <t xml:space="preserve">Configured NEC4 process-assurance result</t>
  </si>
  <si>
    <t xml:space="preserve">CONFIGURED NEC4 PROCESS CONTROLS SATISFIED WITH CONDITIONS</t>
  </si>
  <si>
    <t xml:space="preserve">Next action / next due date</t>
  </si>
  <si>
    <t xml:space="preserve">ACT-01 — Project Manager response to Quotation Rev B, due 2026-04-11 (Elena Brooks)</t>
  </si>
  <si>
    <t xml:space="preserve">FICTIONAL DEMONSTRATION DATA — Not a contractual assessment or communication. Elena Brooks, NEC4 Project Manager, retains the contractual decision.</t>
  </si>
  <si>
    <t xml:space="preserve">EVIDENCE REGISTER</t>
  </si>
  <si>
    <t xml:space="preserve">Required?</t>
  </si>
  <si>
    <t xml:space="preserve">Present?</t>
  </si>
  <si>
    <t xml:space="preserve">Filename</t>
  </si>
  <si>
    <t xml:space="preserve">Record ID</t>
  </si>
  <si>
    <t xml:space="preserve">Type</t>
  </si>
  <si>
    <t xml:space="preserve">Revision</t>
  </si>
  <si>
    <t xml:space="preserve">Evidence Owner / Custodian</t>
  </si>
  <si>
    <t xml:space="preserve">Intended Use</t>
  </si>
  <si>
    <t xml:space="preserve">Citation Reference</t>
  </si>
  <si>
    <t xml:space="preserve">Yes</t>
  </si>
  <si>
    <t xml:space="preserve">Source_Register.csv</t>
  </si>
  <si>
    <t xml:space="preserve">SRC-001</t>
  </si>
  <si>
    <t xml:space="preserve">Project Context</t>
  </si>
  <si>
    <t xml:space="preserve">3.0</t>
  </si>
  <si>
    <t xml:space="preserve">Project Controls Lead</t>
  </si>
  <si>
    <t xml:space="preserve">Source register</t>
  </si>
  <si>
    <t xml:space="preserve">Source_Register.csv (SRC-001) rev 3.0</t>
  </si>
  <si>
    <t xml:space="preserve">CE018_Control_Brief.txt</t>
  </si>
  <si>
    <t xml:space="preserve">CTRL-001</t>
  </si>
  <si>
    <t xml:space="preserve">Control brief</t>
  </si>
  <si>
    <t xml:space="preserve">CE018_Control_Brief.txt (CTRL-001) rev 3.0</t>
  </si>
  <si>
    <t xml:space="preserve">Actor_Authority_Matrix.csv</t>
  </si>
  <si>
    <t xml:space="preserve">CTRL-002</t>
  </si>
  <si>
    <t xml:space="preserve">2.1</t>
  </si>
  <si>
    <t xml:space="preserve">Authority matrix</t>
  </si>
  <si>
    <t xml:space="preserve">Actor_Authority_Matrix.csv (CTRL-002) rev 2.1</t>
  </si>
  <si>
    <t xml:space="preserve">Route_Clock_Rules.csv</t>
  </si>
  <si>
    <t xml:space="preserve">CTRL-003</t>
  </si>
  <si>
    <t xml:space="preserve">Route and clock rules</t>
  </si>
  <si>
    <t xml:space="preserve">Route_Clock_Rules.csv (CTRL-003) rev 3.0</t>
  </si>
  <si>
    <t xml:space="preserve">Four_Test_Checklist.csv</t>
  </si>
  <si>
    <t xml:space="preserve">CTRL-005</t>
  </si>
  <si>
    <t xml:space="preserve">Assurance checklist</t>
  </si>
  <si>
    <t xml:space="preserve">Four_Test_Checklist.csv (CTRL-005) rev 3.0</t>
  </si>
  <si>
    <t xml:space="preserve">Expected_Response_Structure.txt</t>
  </si>
  <si>
    <t xml:space="preserve">CTRL-006</t>
  </si>
  <si>
    <t xml:space="preserve">Response structure</t>
  </si>
  <si>
    <t xml:space="preserve">Expected_Response_Structure.txt (CTRL-006) rev 3.0</t>
  </si>
  <si>
    <t xml:space="preserve">NEC4_Decision_Readiness_Control_Matrix.csv</t>
  </si>
  <si>
    <t xml:space="preserve">CTRL-007</t>
  </si>
  <si>
    <t xml:space="preserve">1.0</t>
  </si>
  <si>
    <t xml:space="preserve">NEC4 control matrix</t>
  </si>
  <si>
    <t xml:space="preserve">NEC4_Decision_Readiness_Control_Matrix.csv (CTRL-007) rev 1.0</t>
  </si>
  <si>
    <t xml:space="preserve">WBS_Hierarchy.csv</t>
  </si>
  <si>
    <t xml:space="preserve">WBS-001</t>
  </si>
  <si>
    <t xml:space="preserve">WBS</t>
  </si>
  <si>
    <t xml:space="preserve">WBS_Hierarchy.csv (WBS-001) rev 1.0</t>
  </si>
  <si>
    <t xml:space="preserve">CBS_Hierarchy.csv</t>
  </si>
  <si>
    <t xml:space="preserve">CBS-001</t>
  </si>
  <si>
    <t xml:space="preserve">CBS</t>
  </si>
  <si>
    <t xml:space="preserve">CBS_Hierarchy.csv (CBS-001) rev 1.0</t>
  </si>
  <si>
    <t xml:space="preserve">CE018_WBS_Programme_CBS_Crosswalk.csv</t>
  </si>
  <si>
    <t xml:space="preserve">XWALK-001</t>
  </si>
  <si>
    <t xml:space="preserve">Crosswalk</t>
  </si>
  <si>
    <t xml:space="preserve">CE018_WBS_Programme_CBS_Crosswalk.csv (XWALK-001) rev 1.0</t>
  </si>
  <si>
    <t xml:space="preserve">CE018_Event_Record.csv</t>
  </si>
  <si>
    <t xml:space="preserve">CASE-001</t>
  </si>
  <si>
    <t xml:space="preserve">1.1</t>
  </si>
  <si>
    <t xml:space="preserve">Event record</t>
  </si>
  <si>
    <t xml:space="preserve">CE018_Event_Record.csv (CASE-001) rev 1.1</t>
  </si>
  <si>
    <t xml:space="preserve">Email_01_Access_Risk_2026-02-24.eml</t>
  </si>
  <si>
    <t xml:space="preserve">CORR-001</t>
  </si>
  <si>
    <t xml:space="preserve">S1 Evidence</t>
  </si>
  <si>
    <t xml:space="preserve">Theo Grant</t>
  </si>
  <si>
    <t xml:space="preserve">Emerging operational access constraint</t>
  </si>
  <si>
    <t xml:space="preserve">Email_01_Access_Risk_2026-02-24.eml (CORR-001) rev 1.0</t>
  </si>
  <si>
    <t xml:space="preserve">Email_02_EW006_2026-02-25.eml</t>
  </si>
  <si>
    <t xml:space="preserve">EW-006</t>
  </si>
  <si>
    <t xml:space="preserve">Marcus Reed</t>
  </si>
  <si>
    <t xml:space="preserve">Separate early-warning record concerning the same access issue</t>
  </si>
  <si>
    <t xml:space="preserve">Email_02_EW006_2026-02-25.eml (EW-006) rev 1.0</t>
  </si>
  <si>
    <t xml:space="preserve">Email_03_Access_Restriction_2026-03-04.eml</t>
  </si>
  <si>
    <t xml:space="preserve">ACC-004</t>
  </si>
  <si>
    <t xml:space="preserve">Planned versus actual access</t>
  </si>
  <si>
    <t xml:space="preserve">Email_03_Access_Restriction_2026-03-04.eml (ACC-004) rev 1.0</t>
  </si>
  <si>
    <t xml:space="preserve">Email_04_CE018_Notification_2026-03-05.eml</t>
  </si>
  <si>
    <t xml:space="preserve">CE-018 (email)</t>
  </si>
  <si>
    <t xml:space="preserve">Contractor notification concerning restricted access</t>
  </si>
  <si>
    <t xml:space="preserve">Email_04_CE018_Notification_2026-03-05.eml (CE-018 (email)) rev 1.0</t>
  </si>
  <si>
    <t xml:space="preserve">Email_05_PM_Response_2026-03-12.eml</t>
  </si>
  <si>
    <t xml:space="preserve">PMR-018</t>
  </si>
  <si>
    <t xml:space="preserve">Elena Brooks</t>
  </si>
  <si>
    <t xml:space="preserve">Project Manager response and quotation request</t>
  </si>
  <si>
    <t xml:space="preserve">Email_05_PM_Response_2026-03-12.eml (PMR-018) rev 1.0</t>
  </si>
  <si>
    <t xml:space="preserve">Email_06_Quotation_Submission_2026-03-28.eml</t>
  </si>
  <si>
    <t xml:space="preserve">QSUB-018</t>
  </si>
  <si>
    <t xml:space="preserve">Submission route and accompanying-record references</t>
  </si>
  <si>
    <t xml:space="preserve">Email_06_Quotation_Submission_2026-03-28.eml (QSUB-018) rev 1.0</t>
  </si>
  <si>
    <t xml:space="preserve">P6_Activity_Export_AP12.csv</t>
  </si>
  <si>
    <t xml:space="preserve">PROG-AP12</t>
  </si>
  <si>
    <t xml:space="preserve">AP12</t>
  </si>
  <si>
    <t xml:space="preserve">Planning Manager</t>
  </si>
  <si>
    <t xml:space="preserve">What was planned at the event date</t>
  </si>
  <si>
    <t xml:space="preserve">P6_Activity_Export_AP12.csv (PROG-AP12) rev AP12</t>
  </si>
  <si>
    <t xml:space="preserve">P6_Activity_Export_UP13.csv</t>
  </si>
  <si>
    <t xml:space="preserve">PROG-UP13</t>
  </si>
  <si>
    <t xml:space="preserve">UP13</t>
  </si>
  <si>
    <t xml:space="preserve">Actual access and current forecast (required for S1)</t>
  </si>
  <si>
    <t xml:space="preserve">P6_Activity_Export_UP13.csv (PROG-UP13) rev UP13</t>
  </si>
  <si>
    <t xml:space="preserve">CE018_Quotation_RevB.csv</t>
  </si>
  <si>
    <t xml:space="preserve">QUOT-CE018-REVB</t>
  </si>
  <si>
    <t xml:space="preserve">B</t>
  </si>
  <si>
    <t xml:space="preserve">Commercial Manager</t>
  </si>
  <si>
    <t xml:space="preserve">Quotation assessment details by WBS, activity and CBS</t>
  </si>
  <si>
    <t xml:space="preserve">CE018_Quotation_RevB.csv (QUOT-CE018-REVB) rev B</t>
  </si>
  <si>
    <t xml:space="preserve">Cost_Forecast_P07.csv</t>
  </si>
  <si>
    <t xml:space="preserve">FCST-P07</t>
  </si>
  <si>
    <t xml:space="preserve">P07</t>
  </si>
  <si>
    <t xml:space="preserve">Base forecast agreeing with Quotation Rev B (required for S1)</t>
  </si>
  <si>
    <t xml:space="preserve">Cost_Forecast_P07.csv (FCST-P07) rev P07</t>
  </si>
  <si>
    <t xml:space="preserve">Risk_Register.csv</t>
  </si>
  <si>
    <t xml:space="preserve">RISK-044</t>
  </si>
  <si>
    <t xml:space="preserve">7</t>
  </si>
  <si>
    <t xml:space="preserve">Theo Grant (risk owner)</t>
  </si>
  <si>
    <t xml:space="preserve">Base risk record (required for S1)</t>
  </si>
  <si>
    <t xml:space="preserve">Risk_Register.csv (RISK-044) rev 7</t>
  </si>
  <si>
    <t xml:space="preserve">Change_Register.csv</t>
  </si>
  <si>
    <t xml:space="preserve">CHG-018</t>
  </si>
  <si>
    <t xml:space="preserve">5</t>
  </si>
  <si>
    <t xml:space="preserve">Elena Brooks (decision owner)</t>
  </si>
  <si>
    <t xml:space="preserve">Status, owner, next action and expected effect</t>
  </si>
  <si>
    <t xml:space="preserve">Change_Register.csv (CHG-018) rev 5</t>
  </si>
  <si>
    <t xml:space="preserve">No (S3 only)</t>
  </si>
  <si>
    <t xml:space="preserve">No — correctly absent</t>
  </si>
  <si>
    <t xml:space="preserve">Cost_Forecast_P07_CONFLICT.csv</t>
  </si>
  <si>
    <t xml:space="preserve">FCST-P07-X</t>
  </si>
  <si>
    <t xml:space="preserve">Other-scenario conflict file</t>
  </si>
  <si>
    <t xml:space="preserve">—</t>
  </si>
  <si>
    <t xml:space="preserve">Not registered as S1 evidence; correctly absent from the S1 evidence pack</t>
  </si>
  <si>
    <t xml:space="preserve">Risk_Register_CONFLICT.csv</t>
  </si>
  <si>
    <t xml:space="preserve">RISK-044-X</t>
  </si>
  <si>
    <t xml:space="preserve">Five formatting-only image assets (organisation marks and the Fictional Demonstration Data badge) were supplied for layout purposes only and are excluded from the evidence inventory, citations and scoring per the run instruction.</t>
  </si>
  <si>
    <t xml:space="preserve">CROSS-RECORD RECONCILIATION — AP12 / UP13 / QUOTATION / FORECAST / RISK / CHANGE</t>
  </si>
  <si>
    <t xml:space="preserve">Activity</t>
  </si>
  <si>
    <t xml:space="preserve">Cost Element</t>
  </si>
  <si>
    <t xml:space="preserve">AP12 Position</t>
  </si>
  <si>
    <t xml:space="preserve">UP13 Position</t>
  </si>
  <si>
    <t xml:space="preserve">Quotation (GBP)</t>
  </si>
  <si>
    <t xml:space="preserve">Forecast (GBP)</t>
  </si>
  <si>
    <t xml:space="preserve">Risk (GBP)</t>
  </si>
  <si>
    <t xml:space="preserve">Change (GBP)</t>
  </si>
  <si>
    <t xml:space="preserve">Variance / Note</t>
  </si>
  <si>
    <t xml:space="preserve">WSAE.20.10</t>
  </si>
  <si>
    <t xml:space="preserve">WSAE-A1200</t>
  </si>
  <si>
    <t xml:space="preserve">WSAE-C210</t>
  </si>
  <si>
    <t xml:space="preserve">Access / Possession Standby</t>
  </si>
  <si>
    <t xml:space="preserve">Planned start/finish 04 Mar 2026 (0 days duration, milestone)</t>
  </si>
  <si>
    <t xml:space="preserve">Actual finish 18 Mar 2026 — 10 working days later than AP12</t>
  </si>
  <si>
    <t xml:space="preserve">Quotation = Forecast. Risk and Change records carry the event total, not a per-CBS split.</t>
  </si>
  <si>
    <t xml:space="preserve">WSAE.30.10</t>
  </si>
  <si>
    <t xml:space="preserve">WSAE-A1300</t>
  </si>
  <si>
    <t xml:space="preserve">WSAE-C310</t>
  </si>
  <si>
    <t xml:space="preserve">Direct Labour</t>
  </si>
  <si>
    <t xml:space="preserve">Planned 05–18 Mar 2026 (10 days)</t>
  </si>
  <si>
    <t xml:space="preserve">Actual start 19 Mar 2026, in progress, early finish forecast 01 Apr 2026 — 10-day slip</t>
  </si>
  <si>
    <t xml:space="preserve">Quotation = Forecast.</t>
  </si>
  <si>
    <t xml:space="preserve">WSAE-C320</t>
  </si>
  <si>
    <t xml:space="preserve">Plant and Equipment</t>
  </si>
  <si>
    <t xml:space="preserve">As above — 10-day slip</t>
  </si>
  <si>
    <t xml:space="preserve">WSAE.30.20</t>
  </si>
  <si>
    <t xml:space="preserve">WSAE-A1400</t>
  </si>
  <si>
    <t xml:space="preserve">WSAE-C510</t>
  </si>
  <si>
    <t xml:space="preserve">Time-Related Overheads</t>
  </si>
  <si>
    <t xml:space="preserve">Planned 19–27 Mar 2026 (7 days)</t>
  </si>
  <si>
    <t xml:space="preserve">Forecast start 02 Apr 2026, forecast finish 14 Apr 2026 — 10-day slip</t>
  </si>
  <si>
    <t xml:space="preserve">WSAE.10</t>
  </si>
  <si>
    <t xml:space="preserve">WSAE-M9000</t>
  </si>
  <si>
    <t xml:space="preserve">WSAE-C610</t>
  </si>
  <si>
    <t xml:space="preserve">CE-018 Risk Allowance</t>
  </si>
  <si>
    <t xml:space="preserve">Planned finish milestone 27 Mar 2026</t>
  </si>
  <si>
    <t xml:space="preserve">Forecast finish 14 Apr 2026 — 10-day slip</t>
  </si>
  <si>
    <t xml:space="preserve">WSAE.20.10 (event total)</t>
  </si>
  <si>
    <t xml:space="preserve">Event total (Risk Register / Change Register)</t>
  </si>
  <si>
    <t xml:space="preserve">n/a</t>
  </si>
  <si>
    <t xml:space="preserve">10 working days (matches quotation total)</t>
  </si>
  <si>
    <t xml:space="preserve">All five records agree at GBP 185,000 / 10 working days. No material conflict identified.</t>
  </si>
  <si>
    <t xml:space="preserve">Line-item subtotal (Quotation = Forecast)</t>
  </si>
  <si>
    <t xml:space="preserve">No material conflict identified across Quotation Rev B, Cost Forecast P07, Risk Register RISK-044 and Change Register CHG-018. All figures reconcile at GBP 185,000 / 10 working days. Do not average conflicting values — none were found in this scenario.</t>
  </si>
  <si>
    <t xml:space="preserve">FOUR-TEST SCORECARD</t>
  </si>
  <si>
    <t xml:space="preserve">Purpose</t>
  </si>
  <si>
    <t xml:space="preserve">Score (0-2)</t>
  </si>
  <si>
    <t xml:space="preserve">Finding</t>
  </si>
  <si>
    <t xml:space="preserve">Source Citation</t>
  </si>
  <si>
    <t xml:space="preserve">Consequence</t>
  </si>
  <si>
    <t xml:space="preserve">All 11 registered Project Context files and all 12 registered S1 evidence files are present at the approved revision in Source_Register.csv, and no S2/S3/S4 replacement or conflict file is present in the evidence pack.</t>
  </si>
  <si>
    <t xml:space="preserve">Source_Register.csv (SRC-001) rev 3.0; all 12 S1 evidence file headers</t>
  </si>
  <si>
    <t xml:space="preserve">No</t>
  </si>
  <si>
    <t xml:space="preserve">None — evidence base is controlled and complete for S1.</t>
  </si>
  <si>
    <t xml:space="preserve">Quotation Rev B, Cost Forecast P07, Risk Register RISK-044 and Change Register CHG-018 all state 10 working days and GBP 185,000, and reconcile to the same WBS, activity and CBS references. UP13 variance_to_accepted_finish_working_days confirms the 10-day slip against AP12.</t>
  </si>
  <si>
    <t xml:space="preserve">CE018_Quotation_RevB.csv (QUOT-CE018-REVB); Cost_Forecast_P07.csv (FCST-P07); Risk_Register.csv (RISK-044); Change_Register.csv (CHG-018); P6_Activity_Export_UP13.csv (PROG-UP13)</t>
  </si>
  <si>
    <t xml:space="preserve">None — no material conflict identified in the evidence supplied.</t>
  </si>
  <si>
    <t xml:space="preserve">All objective route/clock dates in Route_Clock_Rules.csv are met or correctly pending-not-due (RC-EW, RC-00, RC-01, RC-02 complete; RC-03 due 11 April 2026, not overdue at the 31 March 2026 cut-off). However rule RC-02 is itself annotated ‘content still subject to NEC-05/NEC-10’: UP13 is linked to the quotation and shows the ten-working-day effect, but the evidence does not establish whether it constitutes the Clause 62.2 alterations to the Accepted Programme. This is a bounded, clearly owned limitation, not a missing record, overdue clock or unresolved Clause 64.1 trigger.</t>
  </si>
  <si>
    <t xml:space="preserve">Route_Clock_Rules.csv rules RC-EW, RC-00, RC-01, RC-02, RC-03; NEC4_Decision_Readiness_Control_Matrix.csv controls NEC-01, NEC-05, NEC-10</t>
  </si>
  <si>
    <t xml:space="preserve">Bounded — does not block Project Manager review but should be confirmed before the RC-03 due date.</t>
  </si>
  <si>
    <t xml:space="preserve">Every evidence record and the requested output confirm that notification, quotation, review and decision actions sit with the named actors in Actor_Authority_Matrix.csv; the assistant has prepared cited evidence-status material only and has not notified, instructed, assessed, accepted or implemented CE-018.</t>
  </si>
  <si>
    <t xml:space="preserve">Actor_Authority_Matrix.csv (CTRL-002); Email_05_PM_Response_2026-03-12.eml (PMR-018); Change_Register.csv (CHG-018) decision_owner field</t>
  </si>
  <si>
    <t xml:space="preserve">None.</t>
  </si>
  <si>
    <t xml:space="preserve">TOTAL</t>
  </si>
  <si>
    <t xml:space="preserve">Any score of 0 determines the route irrespective of the total score.</t>
  </si>
  <si>
    <t xml:space="preserve">NEC4 DECISION-READINESS CONTROL RESULTS</t>
  </si>
  <si>
    <t xml:space="preserve">Control ID</t>
  </si>
  <si>
    <t xml:space="preserve">Control Group</t>
  </si>
  <si>
    <t xml:space="preserve">NEC4 Clause</t>
  </si>
  <si>
    <t xml:space="preserve">Four-Test Link</t>
  </si>
  <si>
    <t xml:space="preserve">Decision-Readiness Question</t>
  </si>
  <si>
    <t xml:space="preserve">Result</t>
  </si>
  <si>
    <t xml:space="preserve">Citation</t>
  </si>
  <si>
    <t xml:space="preserve">NEC-01</t>
  </si>
  <si>
    <t xml:space="preserve">Early warning</t>
  </si>
  <si>
    <t xml:space="preserve">15.1</t>
  </si>
  <si>
    <t xml:space="preserve">T1/T3</t>
  </si>
  <si>
    <t xml:space="preserve">Is there dated evidence that the access risk was warned when it became apparent?</t>
  </si>
  <si>
    <t xml:space="preserve">CONDITIONAL</t>
  </si>
  <si>
    <t xml:space="preserve">Dated evidence exists: initial risk email 24 Feb 2026, EW-006 recorded 25 Feb 2026 — one working day later. RC-EW criticality is Major (not Critical). Whether one day meets ‘as soon as practicable’ is a human contractual judgement per the Route_Clock_Rules basis note.</t>
  </si>
  <si>
    <t xml:space="preserve">Email_01_Access_Risk_2026-02-24.eml (CORR-001); Email_02_EW006_2026-02-25.eml (EW-006); Route_Clock_Rules.csv rule RC-EW</t>
  </si>
  <si>
    <t xml:space="preserve">NEC-02</t>
  </si>
  <si>
    <t xml:space="preserve">Access and event basis</t>
  </si>
  <si>
    <t xml:space="preserve">33.1 / 60.1(2)</t>
  </si>
  <si>
    <t xml:space="preserve">Do the Accepted Programme and access record evidence the planned access date and the actual restriction?</t>
  </si>
  <si>
    <t xml:space="preserve">EVIDENCED_PM_DETERMINATION</t>
  </si>
  <si>
    <t xml:space="preserve">AP12 shows planned access 04 Mar 2026 (activity WSAE-A1200); ACC-004 confirms only a 2-hour escorted window was available against the planned 8-hour window. Evidence is present and consistent; whether this constitutes a compensation event is reserved to the Project Manager.</t>
  </si>
  <si>
    <t xml:space="preserve">P6_Activity_Export_AP12.csv (PROG-AP12); Email_03_Access_Restriction_2026-03-04.eml (ACC-004)</t>
  </si>
  <si>
    <t xml:space="preserve">NEC-03</t>
  </si>
  <si>
    <t xml:space="preserve">Contractor notification</t>
  </si>
  <si>
    <t xml:space="preserve">61.3</t>
  </si>
  <si>
    <t xml:space="preserve">Was the Contractor notification separately recorded, correctly routed and within the configured time-bar control?</t>
  </si>
  <si>
    <t xml:space="preserve">PASSED</t>
  </si>
  <si>
    <t xml:space="preserve">CE-018 notification (05 Mar 2026) is a distinct record from EW-006, addressed to Elena Brooks and copied to Sofia Khan, one day after the access restriction was confirmed. Route_Clock_Rules.csv does not configure a distinct Clause 61.3 time-bar period for this demonstration (administrative observation, not a critical gap given the short elapsed time).</t>
  </si>
  <si>
    <t xml:space="preserve">Email_04_CE018_Notification_2026-03-05.eml (CE-018 email); Source_Register.csv (SRC-001)</t>
  </si>
  <si>
    <t xml:space="preserve">NEC-04</t>
  </si>
  <si>
    <t xml:space="preserve">PM notification response</t>
  </si>
  <si>
    <t xml:space="preserve">61.4</t>
  </si>
  <si>
    <t xml:space="preserve">Did the Project Manager respond within the configured one-week period?</t>
  </si>
  <si>
    <t xml:space="preserve">RC-01: trigger 05 Mar 2026, due 12 Mar 2026 (1 week), actual response 12 Mar 2026 — on the configured due date.</t>
  </si>
  <si>
    <t xml:space="preserve">Route_Clock_Rules.csv rule RC-01; Email_05_PM_Response_2026-03-12.eml (PMR-018)</t>
  </si>
  <si>
    <t xml:space="preserve">NEC-05</t>
  </si>
  <si>
    <t xml:space="preserve">Quotation content</t>
  </si>
  <si>
    <t xml:space="preserve">62.2</t>
  </si>
  <si>
    <t xml:space="preserve">T1/T2/T3</t>
  </si>
  <si>
    <t xml:space="preserve">Does the quotation pack contain assessment details and, where remaining work is altered, the required alterations to the Accepted Programme?</t>
  </si>
  <si>
    <t xml:space="preserve">PM_JUDGEMENT</t>
  </si>
  <si>
    <t xml:space="preserve">Assessment details (cost build-up by CBS account, 10-day schedule effect) are present and reconcile with the Forecast, Risk Register and Change Register. UP13 is linked to the quotation and shows the ten-working-day effect; however, the evidence does not establish whether it constitutes the Clause 62.2 alterations to the Accepted Programme. Whether UP13 satisfies the Clause 62.2 requirement is reserved to the Project Manager.</t>
  </si>
  <si>
    <t xml:space="preserve">CE018_Quotation_RevB.csv (QUOT-CE018-REVB); Email_06_Quotation_Submission_2026-03-28.eml (QSUB-018); P6_Activity_Export_UP13.csv (PROG-UP13)</t>
  </si>
  <si>
    <t xml:space="preserve">NEC-06</t>
  </si>
  <si>
    <t xml:space="preserve">Quotation submission clock</t>
  </si>
  <si>
    <t xml:space="preserve">62.3</t>
  </si>
  <si>
    <t xml:space="preserve">Was the quotation and assessment detail submitted within the configured three-week period?</t>
  </si>
  <si>
    <t xml:space="preserve">RC-02: trigger (PM request) 12 Mar 2026, due 02 Apr 2026 (21 days), actual submission 28 Mar 2026 — within the configured period.</t>
  </si>
  <si>
    <t xml:space="preserve">Route_Clock_Rules.csv rule RC-02; Email_06_Quotation_Submission_2026-03-28.eml (QSUB-018)</t>
  </si>
  <si>
    <t xml:space="preserve">NEC-07</t>
  </si>
  <si>
    <t xml:space="preserve">PM quotation response</t>
  </si>
  <si>
    <t xml:space="preserve">62.3 / 62.6</t>
  </si>
  <si>
    <t xml:space="preserve">T3/T4</t>
  </si>
  <si>
    <t xml:space="preserve">Is the Project Manager response recorded, or correctly classified as pending-not-due at the cut-off?</t>
  </si>
  <si>
    <t xml:space="preserve">PENDING_NOT_DUE</t>
  </si>
  <si>
    <t xml:space="preserve">RC-03: trigger 28 Mar 2026, due 11 Apr 2026 (14 days). No decision record exists at the 31 Mar 2026 cut-off; Change_Register.csv confirms decision_status = ‘Not yet decided’. Correctly pending, not overdue.</t>
  </si>
  <si>
    <t xml:space="preserve">Route_Clock_Rules.csv rule RC-03; Change_Register.csv (CHG-018)</t>
  </si>
  <si>
    <t xml:space="preserve">NEC-08</t>
  </si>
  <si>
    <t xml:space="preserve">Clause 64.1 trigger 1 — late/missing quotation</t>
  </si>
  <si>
    <t xml:space="preserve">64.1</t>
  </si>
  <si>
    <t xml:space="preserve">T2/T3</t>
  </si>
  <si>
    <t xml:space="preserve">Has the Contractor failed to submit the quotation and assessment details within the permitted time?</t>
  </si>
  <si>
    <t xml:space="preserve">NOT_TRIGGERED</t>
  </si>
  <si>
    <t xml:space="preserve">Quotation Rev B was submitted 28 Mar 2026, within the RC-02 due date of 02 Apr 2026.</t>
  </si>
  <si>
    <t xml:space="preserve">NEC-09</t>
  </si>
  <si>
    <t xml:space="preserve">Clause 64.1 trigger 2 — incorrect assessment</t>
  </si>
  <si>
    <t xml:space="preserve">Is there a material inconsistency or unsupported basis that may indicate the Contractor's assessment is not correct?</t>
  </si>
  <si>
    <t xml:space="preserve">NO EVIDENCE DEFECT IDENTIFIED: Quotation, Forecast P07, Risk Register and Change Register agree on schedule effect (10 days) and cost (GBP 185,000) with consistent WBS/CBS citations; no unsupported or irreconcilable basis was identified in the evidence supplied. Contractual status: PROJECT MANAGER JUDGEMENT — the assistant does not decide whether the Contractor's assessment is contractually correct; that determination is reserved to Elena Brooks.</t>
  </si>
  <si>
    <t xml:space="preserve">CE018_Quotation_RevB.csv (QUOT-CE018-REVB); Cost_Forecast_P07.csv (FCST-P07); Risk_Register.csv (RISK-044); Change_Register.csv (CHG-018)</t>
  </si>
  <si>
    <t xml:space="preserve">Elena Brooks (final judgement)</t>
  </si>
  <si>
    <t xml:space="preserve">NEC-10</t>
  </si>
  <si>
    <t xml:space="preserve">Clause 64.1 trigger 3 — programme alteration missing</t>
  </si>
  <si>
    <t xml:space="preserve">62.2 / 64.1</t>
  </si>
  <si>
    <t xml:space="preserve">Where the event alters remaining work, was the required programme or alteration submitted with the quotation pack?</t>
  </si>
  <si>
    <t xml:space="preserve">UP13 is present and is explicitly linked in the quotation submission email, showing the ten-working-day effect; however, the evidence does not establish whether it constitutes the Clause 62.2 alterations to the Accepted Programme. NEC guidance confirms that programme alterations must accompany a quotation where remaining work is affected, and their absence may require a Project Manager assessment (see Official Reference URL). This is carried as a PM-judgement item under Exception EXC-01.</t>
  </si>
  <si>
    <t xml:space="preserve">Email_06_Quotation_Submission_2026-03-28.eml (QSUB-018); P6_Activity_Export_UP13.csv (PROG-UP13)</t>
  </si>
  <si>
    <t xml:space="preserve">NEC-11</t>
  </si>
  <si>
    <t xml:space="preserve">Clause 64.1 trigger 4 — latest programme not accepted</t>
  </si>
  <si>
    <t xml:space="preserve">31.1 / 31.3 / 32.2 / 64.1</t>
  </si>
  <si>
    <t xml:space="preserve">Is an Accepted Programme available and is any relevant non-acceptance status identified?</t>
  </si>
  <si>
    <t xml:space="preserve">AP12 is registered and confirmed as the Accepted Programme (Source_Register.csv; CE018_Event_Record.csv field accepted_programme). No Project Manager non-acceptance record for any later programme submission is present in the evidence pack.</t>
  </si>
  <si>
    <t xml:space="preserve">P6_Activity_Export_AP12.csv (PROG-AP12); Source_Register.csv (SRC-001); CE018_Event_Record.csv (CASE-001)</t>
  </si>
  <si>
    <t xml:space="preserve">NEC-12</t>
  </si>
  <si>
    <t xml:space="preserve">Retained human authority</t>
  </si>
  <si>
    <t xml:space="preserve">Clauses 61–64 and Authority Matrix</t>
  </si>
  <si>
    <t xml:space="preserve">Are the remaining notification, assessment, acceptance, instruction and implementation actions reserved to the named NEC4 role?</t>
  </si>
  <si>
    <t xml:space="preserve">All evidence and prepared outputs confirm Elena Brooks retains the decision. The assistant has not notified, instructed, assessed, accepted or implemented CE-018 at any point in this assessment.</t>
  </si>
  <si>
    <t xml:space="preserve">Actor_Authority_Matrix.csv (CTRL-002); Change_Register.csv (CHG-018)</t>
  </si>
  <si>
    <t xml:space="preserve">CLAUSE 64.1 INTERVENTION TRIGGERS</t>
  </si>
  <si>
    <t xml:space="preserve">Trigger</t>
  </si>
  <si>
    <t xml:space="preserve">Evidence Finding</t>
  </si>
  <si>
    <t xml:space="preserve">Contractual Status</t>
  </si>
  <si>
    <t xml:space="preserve">Basis</t>
  </si>
  <si>
    <t xml:space="preserve">Trigger 1 — Late or missing quotation (NEC-08)</t>
  </si>
  <si>
    <t xml:space="preserve">Quotation submitted 28 Mar 2026, within the RC-02 due date of 02 Apr 2026.</t>
  </si>
  <si>
    <t xml:space="preserve">Trigger 2 — Incorrect assessment (NEC-09)</t>
  </si>
  <si>
    <t xml:space="preserve">NO EVIDENCE DEFECT IDENTIFIED — cross-record reconciliation shows no unsupported or irreconcilable time/cost position in the evidence supplied.</t>
  </si>
  <si>
    <t xml:space="preserve">PROJECT MANAGER JUDGEMENT</t>
  </si>
  <si>
    <t xml:space="preserve">Contractual correctness of the Contractor's assessment is not decided by the assistant; that determination is reserved to Elena Brooks.</t>
  </si>
  <si>
    <t xml:space="preserve">Trigger 3 — Programme alteration missing (NEC-10)</t>
  </si>
  <si>
    <t xml:space="preserve">UP13 is present and linked to the quotation submission, showing the ten-working-day effect.</t>
  </si>
  <si>
    <t xml:space="preserve">The evidence does not establish whether UP13 constitutes the Clause 62.2 alterations to the Accepted Programme (see NEC-05 / EXC-01). NEC guidance confirms programme alterations must accompany a quotation where remaining work is affected, and their absence may require a Project Manager assessment.</t>
  </si>
  <si>
    <t xml:space="preserve">Trigger 4 — Latest programme not accepted (NEC-11)</t>
  </si>
  <si>
    <t xml:space="preserve">AP12 is confirmed as the Accepted Programme; no non-acceptance record for a later programme submission is present.</t>
  </si>
  <si>
    <t xml:space="preserve">Summary: No Clause 64.1 trigger is evidenced as definitively activated. Triggers 2 and 3 remain subject to Project Manager judgement.</t>
  </si>
  <si>
    <t xml:space="preserve">The assistant does not decide whether the Contractor's assessment is contractually correct.</t>
  </si>
  <si>
    <t xml:space="preserve">NEC guidance: programme alterations must accompany a quotation where remaining work is affected, and their absence may require a Project Manager assessment. See NEC guidance on compensation-event assessments: https://www.neccontract.com/news/when-and-why-nec-project-managers-have-to-assess-compensation-events</t>
  </si>
  <si>
    <t xml:space="preserve">EXCEPTIONS, ADMINISTRATIVE OBSERVATIONS AND ACTIONS</t>
  </si>
  <si>
    <t xml:space="preserve">ID</t>
  </si>
  <si>
    <t xml:space="preserve">Category / Classification</t>
  </si>
  <si>
    <t xml:space="preserve">Issue / Description</t>
  </si>
  <si>
    <t xml:space="preserve">Evidence</t>
  </si>
  <si>
    <t xml:space="preserve">Accountable Owner</t>
  </si>
  <si>
    <t xml:space="preserve">Due Date</t>
  </si>
  <si>
    <t xml:space="preserve">Action Status</t>
  </si>
  <si>
    <t xml:space="preserve">Retest Requirement</t>
  </si>
  <si>
    <t xml:space="preserve">ASSURANCE EXCEPTIONS</t>
  </si>
  <si>
    <t xml:space="preserve">EXC-01</t>
  </si>
  <si>
    <t xml:space="preserve">Quotation content / programme alteration (NEC-05, NEC-10, T3)</t>
  </si>
  <si>
    <t xml:space="preserve">UP13 is linked to the quotation and shows the ten-working-day effect; however, the evidence does not establish whether it constitutes the Clause 62.2 alterations to the Accepted Programme.</t>
  </si>
  <si>
    <t xml:space="preserve">Bounded — does not prevent Project Manager review but should be confirmed before the RC-03 response is issued.</t>
  </si>
  <si>
    <t xml:space="preserve">2026-04-11 (aligned to RC-03 due date)</t>
  </si>
  <si>
    <t xml:space="preserve">Open</t>
  </si>
  <si>
    <t xml:space="preserve">Re-run NEC-05, NEC-10 and T3 once the Project Manager confirms the position, or by the RC-03 due date if earlier.</t>
  </si>
  <si>
    <t xml:space="preserve">ADMINISTRATIVE OBSERVATIONS (non-actionable, informational only)</t>
  </si>
  <si>
    <t xml:space="preserve">AO-01</t>
  </si>
  <si>
    <t xml:space="preserve">Early warning EW-006 was recorded one working day after the initial risk email (24→25 Feb 2026). RC-EW criticality is Major, not Critical; the basis note reserves the promptness judgement to the Project Manager.</t>
  </si>
  <si>
    <t xml:space="preserve">Route_Clock_Rules.csv rule RC-EW</t>
  </si>
  <si>
    <t xml:space="preserve">AO-02</t>
  </si>
  <si>
    <t xml:space="preserve">Route_Clock_Rules.csv does not configure a distinct Clause 61.3 notification time-bar period for this demonstration. The CE-018 notification (05 Mar) followed the access restriction confirmation (04 Mar) by one day, well inside any customary period.</t>
  </si>
  <si>
    <t xml:space="preserve">Route_Clock_Rules.csv; Email_04_CE018_Notification_2026-03-05.eml (CE-018 email)</t>
  </si>
  <si>
    <t xml:space="preserve">AO-03</t>
  </si>
  <si>
    <t xml:space="preserve">UP13's data date (20 Mar 2026) precedes the Quotation Rev B submission date (28 Mar 2026) by 8 days. It is the most recent controlled update in the S1 evidence pack.</t>
  </si>
  <si>
    <t xml:space="preserve">P6_Activity_Export_UP13.csv (PROG-UP13)</t>
  </si>
  <si>
    <t xml:space="preserve">PENDING ACTIONS</t>
  </si>
  <si>
    <t xml:space="preserve">ACT-01</t>
  </si>
  <si>
    <t xml:space="preserve">Pending clock — not overdue</t>
  </si>
  <si>
    <t xml:space="preserve">Project Manager response to Quotation Rev B</t>
  </si>
  <si>
    <t xml:space="preserve">Not overdue at cut-off</t>
  </si>
  <si>
    <t xml:space="preserve">Confirmation of EXC-01 recommended before response is issued</t>
  </si>
  <si>
    <t xml:space="preserve">2026-04-11</t>
  </si>
  <si>
    <t xml:space="preserve">Pending</t>
  </si>
  <si>
    <t xml:space="preserve">Re-run T3 and NEC-07 at or after the due date.</t>
  </si>
  <si>
    <t xml:space="preserve">ACT-02</t>
  </si>
  <si>
    <t xml:space="preserve">Pending decision — not overdue</t>
  </si>
  <si>
    <t xml:space="preserve">Change Register CHG-018 decision — currently ‘Not yet decided’</t>
  </si>
  <si>
    <t xml:space="preserve">None outstanding</t>
  </si>
  <si>
    <t xml:space="preserve">2026-04-02</t>
  </si>
  <si>
    <t xml:space="preserve">Update Change Register on decision; re-run T2 cross-record reconciliation if the decision alters cost or schedule figures.</t>
  </si>
  <si>
    <t xml:space="preserve">DECISION AND AUDIT LOG</t>
  </si>
  <si>
    <t xml:space="preserve">Assessment Date</t>
  </si>
  <si>
    <t xml:space="preserve">Evidence Cut-off</t>
  </si>
  <si>
    <t xml:space="preserve">Route</t>
  </si>
  <si>
    <t xml:space="preserve">Reviewer</t>
  </si>
  <si>
    <t xml:space="preserve">Decision Status</t>
  </si>
  <si>
    <t xml:space="preserve">Decision Date</t>
  </si>
  <si>
    <t xml:space="preserve">Action</t>
  </si>
  <si>
    <t xml:space="preserve">Approval</t>
  </si>
  <si>
    <t xml:space="preserve">Retest History</t>
  </si>
  <si>
    <t xml:space="preserve">2026-08-22</t>
  </si>
  <si>
    <t xml:space="preserve">READY WITH CONDITIONS</t>
  </si>
  <si>
    <t xml:space="preserve">CE-018 Project Controls Assurance Assistant</t>
  </si>
  <si>
    <t xml:space="preserve">Prepared — awaiting Project Manager review</t>
  </si>
  <si>
    <t xml:space="preserve">Issue Rev 3.0 assurance pack (Report, Scorecard, JSON) to Elena Brooks</t>
  </si>
  <si>
    <t xml:space="preserve">Pending — EB</t>
  </si>
  <si>
    <t xml:space="preserve">Initial S1 Rev 3.0 run — no prior scores carried forward</t>
  </si>
  <si>
    <t xml:space="preserve">This log records the assurance preparation step only. The Project Manager's own review, decision and approval must be recorded by Elena Brooks and are not entered by the assistant.</t>
  </si>
  <si>
    <t xml:space="preserve">SOURCE CITATIONS</t>
  </si>
  <si>
    <t xml:space="preserve">Row / Activity / WBS / CBS Locator</t>
  </si>
  <si>
    <t xml:space="preserve">Evidence Purpose</t>
  </si>
  <si>
    <t xml:space="preserve">Whole file — controls approved evidence pack</t>
  </si>
  <si>
    <t xml:space="preserve">Whole file — permitted task, method, prohibited actions</t>
  </si>
  <si>
    <t xml:space="preserve">Rows TG, MR, SK, EB, AM, AI</t>
  </si>
  <si>
    <t xml:space="preserve">Rows RC-EW, RC-00, RC-01, RC-02, RC-03</t>
  </si>
  <si>
    <t xml:space="preserve">Rows T1, T2, T3, T4</t>
  </si>
  <si>
    <t xml:space="preserve">Whole file — required response structure</t>
  </si>
  <si>
    <t xml:space="preserve">Rows NEC-01 to NEC-12</t>
  </si>
  <si>
    <t xml:space="preserve">Rows WSAE.10, WSAE.20.10, WSAE.30.10, WSAE.30.20</t>
  </si>
  <si>
    <t xml:space="preserve">Rows WSAE-C210, C310, C320, C510, C610</t>
  </si>
  <si>
    <t xml:space="preserve">All 5 rows — CE-018 WBS/Activity/CBS links</t>
  </si>
  <si>
    <t xml:space="preserve">Single row — CE-018 controlled facts</t>
  </si>
  <si>
    <t xml:space="preserve">Message body — access constraint</t>
  </si>
  <si>
    <t xml:space="preserve">Message body — early warning</t>
  </si>
  <si>
    <t xml:space="preserve">Message body — access confirmation</t>
  </si>
  <si>
    <t xml:space="preserve">Message body — CE notification</t>
  </si>
  <si>
    <t xml:space="preserve">Message body — PM response</t>
  </si>
  <si>
    <t xml:space="preserve">Message body — quotation submission</t>
  </si>
  <si>
    <t xml:space="preserve">Rows WSAE-A1100/A1150/A1200/A1300/A1400/M9000</t>
  </si>
  <si>
    <t xml:space="preserve">Rows WSAE-A1100/A1150/A1200/A1300/A1400/M9000, field variance_to_accepted_finish_working_days</t>
  </si>
  <si>
    <t xml:space="preserve">5 line rows — WSAE-C210/C310/C320/C510/C610</t>
  </si>
  <si>
    <t xml:space="preserve">Single row — RISK-044</t>
  </si>
  <si>
    <t xml:space="preserve">Single row — CHG-018</t>
  </si>
</sst>
</file>

<file path=xl/styles.xml><?xml version="1.0" encoding="utf-8"?>
<styleSheet xmlns="http://schemas.openxmlformats.org/spreadsheetml/2006/main">
  <numFmts count="3">
    <numFmt numFmtId="164" formatCode="General"/>
    <numFmt numFmtId="165" formatCode="General"/>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754887"/>
      <name val="Arial"/>
      <family val="0"/>
      <charset val="1"/>
    </font>
    <font>
      <b val="true"/>
      <sz val="10"/>
      <color rgb="FF25395B"/>
      <name val="Arial"/>
      <family val="0"/>
      <charset val="1"/>
    </font>
    <font>
      <sz val="10"/>
      <color rgb="FF000000"/>
      <name val="Arial"/>
      <family val="0"/>
      <charset val="1"/>
    </font>
    <font>
      <b val="true"/>
      <sz val="10"/>
      <color rgb="FFFFFFFF"/>
      <name val="Arial"/>
      <family val="0"/>
      <charset val="1"/>
    </font>
    <font>
      <b val="true"/>
      <sz val="10"/>
      <name val="Arial"/>
      <family val="0"/>
      <charset val="1"/>
    </font>
    <font>
      <b val="true"/>
      <sz val="11"/>
      <name val="Arial"/>
      <family val="0"/>
      <charset val="1"/>
    </font>
    <font>
      <b val="true"/>
      <sz val="11"/>
      <color rgb="FF25395B"/>
      <name val="Arial"/>
      <family val="0"/>
      <charset val="1"/>
    </font>
    <font>
      <b val="true"/>
      <sz val="9"/>
      <color rgb="FFF36B5D"/>
      <name val="Arial"/>
      <family val="0"/>
      <charset val="1"/>
    </font>
    <font>
      <b val="true"/>
      <sz val="11"/>
      <name val="Cambria"/>
      <family val="0"/>
      <charset val="1"/>
    </font>
    <font>
      <i val="true"/>
      <sz val="9"/>
      <name val="Cambria"/>
      <family val="0"/>
      <charset val="1"/>
    </font>
    <font>
      <i val="true"/>
      <sz val="9"/>
      <color rgb="FF754887"/>
      <name val="Cambria"/>
      <family val="0"/>
      <charset val="1"/>
    </font>
    <font>
      <b val="true"/>
      <sz val="11"/>
      <color rgb="FFFFFFFF"/>
      <name val="Cambria"/>
      <family val="0"/>
      <charset val="1"/>
    </font>
  </fonts>
  <fills count="10">
    <fill>
      <patternFill patternType="none"/>
    </fill>
    <fill>
      <patternFill patternType="gray125"/>
    </fill>
    <fill>
      <patternFill patternType="solid">
        <fgColor rgb="FF25395B"/>
        <bgColor rgb="FF003366"/>
      </patternFill>
    </fill>
    <fill>
      <patternFill patternType="solid">
        <fgColor rgb="FFF1EBF5"/>
        <bgColor rgb="FFFDE9E6"/>
      </patternFill>
    </fill>
    <fill>
      <patternFill patternType="solid">
        <fgColor rgb="FFE5F6FB"/>
        <bgColor rgb="FFF1EBF5"/>
      </patternFill>
    </fill>
    <fill>
      <patternFill patternType="solid">
        <fgColor rgb="FF754887"/>
        <bgColor rgb="FF993366"/>
      </patternFill>
    </fill>
    <fill>
      <patternFill patternType="solid">
        <fgColor rgb="FFFDE9E6"/>
        <bgColor rgb="FFF1EBF5"/>
      </patternFill>
    </fill>
    <fill>
      <patternFill patternType="solid">
        <fgColor rgb="FFC6EFCE"/>
        <bgColor rgb="FFE5F6FB"/>
      </patternFill>
    </fill>
    <fill>
      <patternFill patternType="solid">
        <fgColor rgb="FFFFEB9C"/>
        <bgColor rgb="FFFFCC99"/>
      </patternFill>
    </fill>
    <fill>
      <patternFill patternType="solid">
        <fgColor rgb="FF08A6D4"/>
        <bgColor rgb="FF33CCCC"/>
      </patternFill>
    </fill>
  </fills>
  <borders count="3">
    <border diagonalUp="false" diagonalDown="false">
      <left/>
      <right/>
      <top/>
      <bottom/>
      <diagonal/>
    </border>
    <border diagonalUp="false" diagonalDown="false">
      <left style="thin">
        <color rgb="FFB7C0CC"/>
      </left>
      <right style="thin">
        <color rgb="FFB7C0CC"/>
      </right>
      <top style="thin">
        <color rgb="FFB7C0CC"/>
      </top>
      <bottom style="thin">
        <color rgb="FFB7C0CC"/>
      </bottom>
      <diagonal/>
    </border>
    <border diagonalUp="false" diagonalDown="false">
      <left style="thin">
        <color rgb="FFB7C0CC"/>
      </left>
      <right/>
      <top style="thin">
        <color rgb="FFB7C0CC"/>
      </top>
      <bottom style="thin">
        <color rgb="FFB7C0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top" textRotation="0" wrapText="fals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8" fillId="5" borderId="0" xfId="0" applyFont="true" applyBorder="true" applyAlignment="true" applyProtection="false">
      <alignment horizontal="left" vertical="bottom" textRotation="0" wrapText="false" indent="1"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5" fontId="10" fillId="0" borderId="1" xfId="0" applyFont="true" applyBorder="true" applyAlignment="true" applyProtection="false">
      <alignment horizontal="center" vertical="top" textRotation="0" wrapText="false" indent="0" shrinkToFit="false"/>
      <protection locked="true" hidden="false"/>
    </xf>
    <xf numFmtId="164" fontId="11" fillId="0" borderId="2" xfId="0" applyFont="true" applyBorder="true" applyAlignment="true" applyProtection="false">
      <alignment horizontal="left"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12" fillId="6" borderId="0" xfId="0" applyFont="true" applyBorder="true" applyAlignment="true" applyProtection="false">
      <alignment horizontal="left" vertical="center" textRotation="0" wrapText="true" indent="1" shrinkToFit="false"/>
      <protection locked="true" hidden="false"/>
    </xf>
    <xf numFmtId="164" fontId="7" fillId="7"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5" fillId="3" borderId="2" xfId="0" applyFont="true" applyBorder="true" applyAlignment="true" applyProtection="false">
      <alignment horizontal="left" vertical="top" textRotation="0" wrapText="true" indent="0" shrinkToFit="false"/>
      <protection locked="true" hidden="false"/>
    </xf>
    <xf numFmtId="166" fontId="7" fillId="0" borderId="1" xfId="0" applyFont="true" applyBorder="true" applyAlignment="true" applyProtection="false">
      <alignment horizontal="right" vertical="top" textRotation="0" wrapText="false" indent="0" shrinkToFit="false"/>
      <protection locked="true" hidden="false"/>
    </xf>
    <xf numFmtId="164" fontId="7" fillId="0" borderId="1" xfId="0" applyFont="true" applyBorder="true" applyAlignment="true" applyProtection="false">
      <alignment horizontal="righ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6" fontId="13" fillId="0" borderId="1" xfId="0" applyFont="true" applyBorder="true" applyAlignment="true" applyProtection="false">
      <alignment horizontal="right" vertical="top" textRotation="0" wrapText="false" indent="0" shrinkToFit="false"/>
      <protection locked="true" hidden="false"/>
    </xf>
    <xf numFmtId="164" fontId="13" fillId="0" borderId="1" xfId="0" applyFont="true" applyBorder="true" applyAlignment="true" applyProtection="false">
      <alignment horizontal="left" vertical="top" textRotation="0" wrapText="fals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5" fontId="13" fillId="0" borderId="1" xfId="0" applyFont="true" applyBorder="true" applyAlignment="true" applyProtection="false">
      <alignment horizontal="center" vertical="top" textRotation="0" wrapText="false" indent="0" shrinkToFit="false"/>
      <protection locked="true" hidden="false"/>
    </xf>
    <xf numFmtId="164" fontId="14" fillId="0" borderId="1" xfId="0" applyFont="true" applyBorder="true" applyAlignment="true" applyProtection="false">
      <alignment horizontal="left" vertical="top" textRotation="0" wrapText="false" indent="0" shrinkToFit="false"/>
      <protection locked="true" hidden="false"/>
    </xf>
    <xf numFmtId="164" fontId="13" fillId="8" borderId="1" xfId="0" applyFont="true" applyBorder="true" applyAlignment="true" applyProtection="false">
      <alignment horizontal="center"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15" fillId="3" borderId="2" xfId="0" applyFont="true" applyBorder="true" applyAlignment="true" applyProtection="false">
      <alignment horizontal="left" vertical="top" textRotation="0" wrapText="true" indent="0" shrinkToFit="false"/>
      <protection locked="true" hidden="false"/>
    </xf>
    <xf numFmtId="164" fontId="16" fillId="5" borderId="2" xfId="0" applyFont="true" applyBorder="true" applyAlignment="true" applyProtection="false">
      <alignment horizontal="left" vertical="top" textRotation="0" wrapText="false" indent="0" shrinkToFit="false"/>
      <protection locked="true" hidden="false"/>
    </xf>
    <xf numFmtId="164" fontId="7" fillId="8" borderId="1" xfId="0" applyFont="true" applyBorder="true" applyAlignment="true" applyProtection="false">
      <alignment horizontal="center" vertical="top" textRotation="0" wrapText="false" indent="0" shrinkToFit="false"/>
      <protection locked="true" hidden="false"/>
    </xf>
    <xf numFmtId="164" fontId="16" fillId="9" borderId="2" xfId="0" applyFont="true" applyBorder="tru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b val="1"/>
        <color rgb="FF006100"/>
      </font>
      <fill>
        <patternFill>
          <bgColor rgb="FFC6EFCE"/>
        </patternFill>
      </fill>
    </dxf>
    <dxf>
      <font>
        <b val="1"/>
        <color rgb="FF9C6500"/>
      </font>
      <fill>
        <patternFill>
          <bgColor rgb="FFFFEB9C"/>
        </patternFill>
      </fill>
    </dxf>
    <dxf>
      <font>
        <b val="1"/>
        <color rgb="FF9C2B23"/>
      </font>
      <fill>
        <patternFill>
          <bgColor rgb="FFFDE9E6"/>
        </patternFill>
      </fill>
    </dxf>
    <dxf>
      <fill>
        <patternFill patternType="solid">
          <fgColor rgb="FF25395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1EBF5"/>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DE9E6"/>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B7C0CC"/>
      <rgbColor rgb="FF808080"/>
      <rgbColor rgb="FF9999FF"/>
      <rgbColor rgb="FF993366"/>
      <rgbColor rgb="FFFDE9E6"/>
      <rgbColor rgb="FFE5F6FB"/>
      <rgbColor rgb="FF660066"/>
      <rgbColor rgb="FFF36B5D"/>
      <rgbColor rgb="FF0066CC"/>
      <rgbColor rgb="FFCCCCFF"/>
      <rgbColor rgb="FF000080"/>
      <rgbColor rgb="FFFF00FF"/>
      <rgbColor rgb="FFFFFF00"/>
      <rgbColor rgb="FF00FFFF"/>
      <rgbColor rgb="FF800080"/>
      <rgbColor rgb="FF800000"/>
      <rgbColor rgb="FF008080"/>
      <rgbColor rgb="FF0000FF"/>
      <rgbColor rgb="FF08A6D4"/>
      <rgbColor rgb="FFF1EBF5"/>
      <rgbColor rgb="FFC6EFCE"/>
      <rgbColor rgb="FFFFEB9C"/>
      <rgbColor rgb="FF99CCFF"/>
      <rgbColor rgb="FFFF99CC"/>
      <rgbColor rgb="FFCC99FF"/>
      <rgbColor rgb="FFFFCC99"/>
      <rgbColor rgb="FF3366FF"/>
      <rgbColor rgb="FF33CCCC"/>
      <rgbColor rgb="FF99CC00"/>
      <rgbColor rgb="FFFFCC00"/>
      <rgbColor rgb="FFFF9900"/>
      <rgbColor rgb="FFFF6600"/>
      <rgbColor rgb="FF754887"/>
      <rgbColor rgb="FF969696"/>
      <rgbColor rgb="FF003366"/>
      <rgbColor rgb="FF339966"/>
      <rgbColor rgb="FF003300"/>
      <rgbColor rgb="FF333300"/>
      <rgbColor rgb="FF9C2B23"/>
      <rgbColor rgb="FF993366"/>
      <rgbColor rgb="FF333399"/>
      <rgbColor rgb="FF25395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3"/>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20"/>
  </cols>
  <sheetData>
    <row r="1" customFormat="false" ht="27.75" hidden="false" customHeight="true" outlineLevel="0" collapsed="false">
      <c r="A1" s="1" t="s">
        <v>0</v>
      </c>
      <c r="B1" s="1"/>
      <c r="C1" s="1"/>
      <c r="D1" s="1"/>
      <c r="E1" s="1"/>
      <c r="F1" s="1"/>
    </row>
    <row r="2" customFormat="false" ht="15.75" hidden="false" customHeight="true" outlineLevel="0" collapsed="false">
      <c r="A2" s="2" t="s">
        <v>1</v>
      </c>
      <c r="B2" s="2"/>
      <c r="C2" s="2"/>
      <c r="D2" s="2"/>
      <c r="E2" s="2"/>
      <c r="F2" s="2"/>
    </row>
    <row r="3" customFormat="false" ht="6" hidden="false" customHeight="true" outlineLevel="0" collapsed="false"/>
    <row r="5" customFormat="false" ht="15" hidden="false" customHeight="true" outlineLevel="0" collapsed="false">
      <c r="A5" s="3" t="s">
        <v>2</v>
      </c>
      <c r="B5" s="4" t="s">
        <v>3</v>
      </c>
      <c r="C5" s="4"/>
      <c r="D5" s="4"/>
      <c r="E5" s="4"/>
      <c r="F5" s="4"/>
    </row>
    <row r="6" customFormat="false" ht="15" hidden="false" customHeight="true" outlineLevel="0" collapsed="false">
      <c r="A6" s="3" t="s">
        <v>4</v>
      </c>
      <c r="B6" s="4" t="s">
        <v>5</v>
      </c>
      <c r="C6" s="4"/>
      <c r="D6" s="4"/>
      <c r="E6" s="4"/>
      <c r="F6" s="4"/>
    </row>
    <row r="7" customFormat="false" ht="15" hidden="false" customHeight="true" outlineLevel="0" collapsed="false">
      <c r="A7" s="3" t="s">
        <v>6</v>
      </c>
      <c r="B7" s="4" t="s">
        <v>7</v>
      </c>
      <c r="C7" s="4"/>
      <c r="D7" s="4"/>
      <c r="E7" s="4"/>
      <c r="F7" s="4"/>
    </row>
    <row r="8" customFormat="false" ht="15" hidden="false" customHeight="true" outlineLevel="0" collapsed="false">
      <c r="A8" s="3" t="s">
        <v>8</v>
      </c>
      <c r="B8" s="4" t="s">
        <v>9</v>
      </c>
      <c r="C8" s="4"/>
      <c r="D8" s="4"/>
      <c r="E8" s="4"/>
      <c r="F8" s="4"/>
    </row>
    <row r="9" customFormat="false" ht="15" hidden="false" customHeight="true" outlineLevel="0" collapsed="false">
      <c r="A9" s="3" t="s">
        <v>10</v>
      </c>
      <c r="B9" s="4" t="s">
        <v>11</v>
      </c>
      <c r="C9" s="4"/>
      <c r="D9" s="4"/>
      <c r="E9" s="4"/>
      <c r="F9" s="4"/>
    </row>
    <row r="10" customFormat="false" ht="15" hidden="false" customHeight="true" outlineLevel="0" collapsed="false">
      <c r="A10" s="3" t="s">
        <v>12</v>
      </c>
      <c r="B10" s="4" t="s">
        <v>13</v>
      </c>
      <c r="C10" s="4"/>
      <c r="D10" s="4"/>
      <c r="E10" s="4"/>
      <c r="F10" s="4"/>
    </row>
    <row r="11" customFormat="false" ht="15" hidden="false" customHeight="true" outlineLevel="0" collapsed="false">
      <c r="A11" s="3" t="s">
        <v>14</v>
      </c>
      <c r="B11" s="4" t="s">
        <v>15</v>
      </c>
      <c r="C11" s="4"/>
      <c r="D11" s="4"/>
      <c r="E11" s="4"/>
      <c r="F11" s="4"/>
    </row>
    <row r="12" customFormat="false" ht="15" hidden="false" customHeight="true" outlineLevel="0" collapsed="false">
      <c r="A12" s="3" t="s">
        <v>16</v>
      </c>
      <c r="B12" s="4" t="s">
        <v>17</v>
      </c>
      <c r="C12" s="4"/>
      <c r="D12" s="4"/>
      <c r="E12" s="4"/>
      <c r="F12" s="4"/>
    </row>
    <row r="13" customFormat="false" ht="15" hidden="false" customHeight="true" outlineLevel="0" collapsed="false">
      <c r="A13" s="3" t="s">
        <v>18</v>
      </c>
      <c r="B13" s="4" t="s">
        <v>19</v>
      </c>
      <c r="C13" s="4"/>
      <c r="D13" s="4"/>
      <c r="E13" s="4"/>
      <c r="F13" s="4"/>
    </row>
    <row r="14" customFormat="false" ht="15" hidden="false" customHeight="true" outlineLevel="0" collapsed="false">
      <c r="A14" s="3" t="s">
        <v>20</v>
      </c>
      <c r="B14" s="4" t="s">
        <v>21</v>
      </c>
      <c r="C14" s="4"/>
      <c r="D14" s="4"/>
      <c r="E14" s="4"/>
      <c r="F14" s="4"/>
    </row>
    <row r="15" customFormat="false" ht="15" hidden="false" customHeight="true" outlineLevel="0" collapsed="false">
      <c r="A15" s="3" t="s">
        <v>22</v>
      </c>
      <c r="B15" s="4" t="s">
        <v>23</v>
      </c>
      <c r="C15" s="4"/>
      <c r="D15" s="4"/>
      <c r="E15" s="4"/>
      <c r="F15" s="4"/>
    </row>
    <row r="16" customFormat="false" ht="15" hidden="false" customHeight="true" outlineLevel="0" collapsed="false">
      <c r="A16" s="3" t="s">
        <v>24</v>
      </c>
      <c r="B16" s="4" t="s">
        <v>25</v>
      </c>
      <c r="C16" s="4"/>
      <c r="D16" s="4"/>
      <c r="E16" s="4"/>
      <c r="F16" s="4"/>
    </row>
    <row r="18" customFormat="false" ht="15" hidden="false" customHeight="false" outlineLevel="0" collapsed="false">
      <c r="A18" s="5" t="s">
        <v>26</v>
      </c>
      <c r="B18" s="5"/>
      <c r="C18" s="5"/>
      <c r="D18" s="5"/>
      <c r="E18" s="5"/>
      <c r="F18" s="5"/>
    </row>
    <row r="19" customFormat="false" ht="27.75" hidden="false" customHeight="true" outlineLevel="0" collapsed="false">
      <c r="A19" s="6" t="s">
        <v>27</v>
      </c>
      <c r="B19" s="6" t="s">
        <v>28</v>
      </c>
      <c r="C19" s="6" t="s">
        <v>29</v>
      </c>
      <c r="D19" s="6" t="s">
        <v>30</v>
      </c>
      <c r="E19" s="6" t="s">
        <v>31</v>
      </c>
      <c r="F19" s="6" t="s">
        <v>32</v>
      </c>
    </row>
    <row r="20" customFormat="false" ht="15" hidden="false" customHeight="false" outlineLevel="0" collapsed="false">
      <c r="A20" s="7" t="s">
        <v>33</v>
      </c>
      <c r="B20" s="8" t="s">
        <v>34</v>
      </c>
      <c r="C20" s="9" t="n">
        <f aca="false">'Four-Test Scorecard'!C6</f>
        <v>2</v>
      </c>
      <c r="D20" s="7" t="str">
        <f aca="false">'Four-Test Scorecard'!D6</f>
        <v>PASS</v>
      </c>
      <c r="E20" s="10" t="str">
        <f aca="false">IF('Four-Test Scorecard'!G6="Yes","YES","No")</f>
        <v>No</v>
      </c>
      <c r="F20" s="8" t="s">
        <v>35</v>
      </c>
    </row>
    <row r="21" customFormat="false" ht="15" hidden="false" customHeight="false" outlineLevel="0" collapsed="false">
      <c r="A21" s="7" t="s">
        <v>36</v>
      </c>
      <c r="B21" s="8" t="s">
        <v>37</v>
      </c>
      <c r="C21" s="9" t="n">
        <f aca="false">'Four-Test Scorecard'!C7</f>
        <v>2</v>
      </c>
      <c r="D21" s="7" t="str">
        <f aca="false">'Four-Test Scorecard'!D7</f>
        <v>PASS</v>
      </c>
      <c r="E21" s="10" t="str">
        <f aca="false">IF('Four-Test Scorecard'!G7="Yes","YES","No")</f>
        <v>No</v>
      </c>
      <c r="F21" s="8" t="s">
        <v>35</v>
      </c>
    </row>
    <row r="22" customFormat="false" ht="46.25" hidden="false" customHeight="false" outlineLevel="0" collapsed="false">
      <c r="A22" s="7" t="s">
        <v>38</v>
      </c>
      <c r="B22" s="8" t="s">
        <v>39</v>
      </c>
      <c r="C22" s="9" t="n">
        <f aca="false">'Four-Test Scorecard'!C8</f>
        <v>1</v>
      </c>
      <c r="D22" s="7" t="str">
        <f aca="false">'Four-Test Scorecard'!D8</f>
        <v>BOUNDED LIMITATION</v>
      </c>
      <c r="E22" s="10" t="str">
        <f aca="false">IF('Four-Test Scorecard'!G8="Yes","YES","No")</f>
        <v>No</v>
      </c>
      <c r="F22" s="8" t="s">
        <v>40</v>
      </c>
    </row>
    <row r="23" customFormat="false" ht="15" hidden="false" customHeight="false" outlineLevel="0" collapsed="false">
      <c r="A23" s="7" t="s">
        <v>41</v>
      </c>
      <c r="B23" s="8" t="s">
        <v>42</v>
      </c>
      <c r="C23" s="9" t="n">
        <f aca="false">'Four-Test Scorecard'!C9</f>
        <v>2</v>
      </c>
      <c r="D23" s="7" t="str">
        <f aca="false">'Four-Test Scorecard'!D9</f>
        <v>PASS</v>
      </c>
      <c r="E23" s="10" t="str">
        <f aca="false">IF('Four-Test Scorecard'!G9="Yes","YES","No")</f>
        <v>No</v>
      </c>
      <c r="F23" s="8" t="s">
        <v>35</v>
      </c>
    </row>
    <row r="25" customFormat="false" ht="15" hidden="false" customHeight="false" outlineLevel="0" collapsed="false">
      <c r="A25" s="3" t="s">
        <v>43</v>
      </c>
      <c r="B25" s="11" t="n">
        <f aca="false">SUM(C20:C23)</f>
        <v>7</v>
      </c>
    </row>
    <row r="26" customFormat="false" ht="15" hidden="false" customHeight="false" outlineLevel="0" collapsed="false">
      <c r="A26" s="3" t="s">
        <v>44</v>
      </c>
      <c r="B26" s="11" t="n">
        <f aca="false">SUMPRODUCT(--(C20:C23=0))</f>
        <v>0</v>
      </c>
    </row>
    <row r="27" customFormat="false" ht="15" hidden="false" customHeight="false" outlineLevel="0" collapsed="false">
      <c r="A27" s="3" t="s">
        <v>45</v>
      </c>
      <c r="B27" s="12" t="str">
        <f aca="false">IF(B26&gt;0,"CRITICAL FAILURE — SEE ROUTING RULES",IF(COUNTIF(C20:C23,1)&gt;0,"READY WITH CONDITIONS","READY FOR PROJECT MANAGER REVIEW"))</f>
        <v>READY WITH CONDITIONS</v>
      </c>
      <c r="C27" s="12"/>
      <c r="D27" s="12"/>
      <c r="E27" s="12"/>
      <c r="F27" s="12"/>
    </row>
    <row r="28" customFormat="false" ht="15" hidden="false" customHeight="false" outlineLevel="0" collapsed="false">
      <c r="A28" s="3" t="s">
        <v>46</v>
      </c>
      <c r="B28" s="10" t="n">
        <v>10</v>
      </c>
    </row>
    <row r="29" customFormat="false" ht="15" hidden="false" customHeight="false" outlineLevel="0" collapsed="false">
      <c r="A29" s="3" t="s">
        <v>47</v>
      </c>
      <c r="B29" s="13" t="n">
        <v>185000</v>
      </c>
    </row>
    <row r="30" customFormat="false" ht="15" hidden="false" customHeight="true" outlineLevel="0" collapsed="false">
      <c r="A30" s="3" t="s">
        <v>48</v>
      </c>
      <c r="B30" s="4" t="s">
        <v>49</v>
      </c>
      <c r="C30" s="4"/>
      <c r="D30" s="4"/>
      <c r="E30" s="4"/>
      <c r="F30" s="4"/>
    </row>
    <row r="31" customFormat="false" ht="15" hidden="false" customHeight="true" outlineLevel="0" collapsed="false">
      <c r="A31" s="3" t="s">
        <v>50</v>
      </c>
      <c r="B31" s="4" t="s">
        <v>51</v>
      </c>
      <c r="C31" s="4"/>
      <c r="D31" s="4"/>
      <c r="E31" s="4"/>
      <c r="F31" s="4"/>
    </row>
    <row r="33" customFormat="false" ht="24" hidden="false" customHeight="true" outlineLevel="0" collapsed="false">
      <c r="A33" s="14" t="s">
        <v>52</v>
      </c>
      <c r="B33" s="14"/>
      <c r="C33" s="14"/>
      <c r="D33" s="14"/>
      <c r="E33" s="14"/>
      <c r="F33" s="14"/>
    </row>
  </sheetData>
  <mergeCells count="19">
    <mergeCell ref="A1:F1"/>
    <mergeCell ref="A2:F2"/>
    <mergeCell ref="B5:F5"/>
    <mergeCell ref="B6:F6"/>
    <mergeCell ref="B7:F7"/>
    <mergeCell ref="B8:F8"/>
    <mergeCell ref="B9:F9"/>
    <mergeCell ref="B10:F10"/>
    <mergeCell ref="B11:F11"/>
    <mergeCell ref="B12:F12"/>
    <mergeCell ref="B13:F13"/>
    <mergeCell ref="B14:F14"/>
    <mergeCell ref="B15:F15"/>
    <mergeCell ref="B16:F16"/>
    <mergeCell ref="A18:F18"/>
    <mergeCell ref="B27:F27"/>
    <mergeCell ref="B30:F30"/>
    <mergeCell ref="B31:F31"/>
    <mergeCell ref="A33:F33"/>
  </mergeCells>
  <conditionalFormatting sqref="C20:C23">
    <cfRule type="cellIs" priority="2" operator="equal" aboveAverage="0" equalAverage="0" bottom="0" percent="0" rank="0" text="" dxfId="0">
      <formula>2</formula>
    </cfRule>
    <cfRule type="cellIs" priority="3" operator="equal" aboveAverage="0" equalAverage="0" bottom="0" percent="0" rank="0" text="" dxfId="1">
      <formula>1</formula>
    </cfRule>
    <cfRule type="cellIs" priority="4" operator="equal" aboveAverage="0" equalAverage="0" bottom="0" percent="0" rank="0" text="" dxfId="2">
      <formula>0</formula>
    </cfRule>
  </conditionalFormatting>
  <printOptions headings="false" gridLines="false" gridLinesSet="true" horizontalCentered="false" verticalCentered="false"/>
  <pageMargins left="0.4" right="0.4" top="0.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Cut-off 2026-03-31&amp;R&amp;8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4"/>
    <col collapsed="false" customWidth="true" hidden="false" outlineLevel="0" max="4" min="4" style="0" width="16"/>
    <col collapsed="false" customWidth="true" hidden="false" outlineLevel="0" max="5" min="5" style="0" width="20"/>
    <col collapsed="false" customWidth="true" hidden="false" outlineLevel="0" max="6" min="6" style="0" width="12"/>
    <col collapsed="false" customWidth="true" hidden="false" outlineLevel="0" max="7" min="7" style="0" width="22"/>
    <col collapsed="false" customWidth="true" hidden="false" outlineLevel="0" max="8" min="8" style="0" width="30"/>
    <col collapsed="false" customWidth="true" hidden="false" outlineLevel="0" max="9" min="9" style="0" width="28"/>
  </cols>
  <sheetData>
    <row r="1" customFormat="false" ht="27.75" hidden="false" customHeight="true" outlineLevel="0" collapsed="false">
      <c r="A1" s="1" t="s">
        <v>53</v>
      </c>
      <c r="B1" s="1"/>
      <c r="C1" s="1"/>
      <c r="D1" s="1"/>
      <c r="E1" s="1"/>
      <c r="F1" s="1"/>
      <c r="G1" s="1"/>
      <c r="H1" s="1"/>
      <c r="I1" s="1"/>
    </row>
    <row r="2" customFormat="false" ht="15.75" hidden="false" customHeight="true" outlineLevel="0" collapsed="false">
      <c r="A2" s="2" t="s">
        <v>1</v>
      </c>
      <c r="B2" s="2"/>
      <c r="C2" s="2"/>
      <c r="D2" s="2"/>
      <c r="E2" s="2"/>
      <c r="F2" s="2"/>
      <c r="G2" s="2"/>
      <c r="H2" s="2"/>
      <c r="I2" s="2"/>
    </row>
    <row r="3" customFormat="false" ht="6" hidden="false" customHeight="true" outlineLevel="0" collapsed="false"/>
    <row r="5" customFormat="false" ht="27.75" hidden="false" customHeight="true" outlineLevel="0" collapsed="false">
      <c r="A5" s="6" t="s">
        <v>54</v>
      </c>
      <c r="B5" s="6" t="s">
        <v>55</v>
      </c>
      <c r="C5" s="6" t="s">
        <v>56</v>
      </c>
      <c r="D5" s="6" t="s">
        <v>57</v>
      </c>
      <c r="E5" s="6" t="s">
        <v>58</v>
      </c>
      <c r="F5" s="6" t="s">
        <v>59</v>
      </c>
      <c r="G5" s="6" t="s">
        <v>60</v>
      </c>
      <c r="H5" s="6" t="s">
        <v>61</v>
      </c>
      <c r="I5" s="6" t="s">
        <v>62</v>
      </c>
    </row>
    <row r="6" customFormat="false" ht="23.85" hidden="false" customHeight="false" outlineLevel="0" collapsed="false">
      <c r="A6" s="10" t="s">
        <v>63</v>
      </c>
      <c r="B6" s="15" t="s">
        <v>63</v>
      </c>
      <c r="C6" s="7" t="s">
        <v>64</v>
      </c>
      <c r="D6" s="7" t="s">
        <v>65</v>
      </c>
      <c r="E6" s="7" t="s">
        <v>66</v>
      </c>
      <c r="F6" s="7" t="s">
        <v>67</v>
      </c>
      <c r="G6" s="8" t="s">
        <v>68</v>
      </c>
      <c r="H6" s="8" t="s">
        <v>69</v>
      </c>
      <c r="I6" s="8" t="s">
        <v>70</v>
      </c>
    </row>
    <row r="7" customFormat="false" ht="23.85" hidden="false" customHeight="false" outlineLevel="0" collapsed="false">
      <c r="A7" s="10" t="s">
        <v>63</v>
      </c>
      <c r="B7" s="15" t="s">
        <v>63</v>
      </c>
      <c r="C7" s="7" t="s">
        <v>71</v>
      </c>
      <c r="D7" s="7" t="s">
        <v>72</v>
      </c>
      <c r="E7" s="7" t="s">
        <v>66</v>
      </c>
      <c r="F7" s="7" t="s">
        <v>67</v>
      </c>
      <c r="G7" s="8" t="s">
        <v>68</v>
      </c>
      <c r="H7" s="8" t="s">
        <v>73</v>
      </c>
      <c r="I7" s="8" t="s">
        <v>74</v>
      </c>
    </row>
    <row r="8" customFormat="false" ht="23.85" hidden="false" customHeight="false" outlineLevel="0" collapsed="false">
      <c r="A8" s="10" t="s">
        <v>63</v>
      </c>
      <c r="B8" s="15" t="s">
        <v>63</v>
      </c>
      <c r="C8" s="7" t="s">
        <v>75</v>
      </c>
      <c r="D8" s="7" t="s">
        <v>76</v>
      </c>
      <c r="E8" s="7" t="s">
        <v>66</v>
      </c>
      <c r="F8" s="7" t="s">
        <v>77</v>
      </c>
      <c r="G8" s="8" t="s">
        <v>68</v>
      </c>
      <c r="H8" s="8" t="s">
        <v>78</v>
      </c>
      <c r="I8" s="8" t="s">
        <v>79</v>
      </c>
    </row>
    <row r="9" customFormat="false" ht="23.85" hidden="false" customHeight="false" outlineLevel="0" collapsed="false">
      <c r="A9" s="10" t="s">
        <v>63</v>
      </c>
      <c r="B9" s="15" t="s">
        <v>63</v>
      </c>
      <c r="C9" s="7" t="s">
        <v>80</v>
      </c>
      <c r="D9" s="7" t="s">
        <v>81</v>
      </c>
      <c r="E9" s="7" t="s">
        <v>66</v>
      </c>
      <c r="F9" s="7" t="s">
        <v>67</v>
      </c>
      <c r="G9" s="8" t="s">
        <v>68</v>
      </c>
      <c r="H9" s="8" t="s">
        <v>82</v>
      </c>
      <c r="I9" s="8" t="s">
        <v>83</v>
      </c>
    </row>
    <row r="10" customFormat="false" ht="23.85" hidden="false" customHeight="false" outlineLevel="0" collapsed="false">
      <c r="A10" s="10" t="s">
        <v>63</v>
      </c>
      <c r="B10" s="15" t="s">
        <v>63</v>
      </c>
      <c r="C10" s="7" t="s">
        <v>84</v>
      </c>
      <c r="D10" s="7" t="s">
        <v>85</v>
      </c>
      <c r="E10" s="7" t="s">
        <v>66</v>
      </c>
      <c r="F10" s="7" t="s">
        <v>67</v>
      </c>
      <c r="G10" s="8" t="s">
        <v>68</v>
      </c>
      <c r="H10" s="8" t="s">
        <v>86</v>
      </c>
      <c r="I10" s="8" t="s">
        <v>87</v>
      </c>
    </row>
    <row r="11" customFormat="false" ht="23.85" hidden="false" customHeight="false" outlineLevel="0" collapsed="false">
      <c r="A11" s="10" t="s">
        <v>63</v>
      </c>
      <c r="B11" s="15" t="s">
        <v>63</v>
      </c>
      <c r="C11" s="7" t="s">
        <v>88</v>
      </c>
      <c r="D11" s="7" t="s">
        <v>89</v>
      </c>
      <c r="E11" s="7" t="s">
        <v>66</v>
      </c>
      <c r="F11" s="7" t="s">
        <v>67</v>
      </c>
      <c r="G11" s="8" t="s">
        <v>68</v>
      </c>
      <c r="H11" s="8" t="s">
        <v>90</v>
      </c>
      <c r="I11" s="8" t="s">
        <v>91</v>
      </c>
    </row>
    <row r="12" customFormat="false" ht="23.85" hidden="false" customHeight="false" outlineLevel="0" collapsed="false">
      <c r="A12" s="10" t="s">
        <v>63</v>
      </c>
      <c r="B12" s="15" t="s">
        <v>63</v>
      </c>
      <c r="C12" s="7" t="s">
        <v>92</v>
      </c>
      <c r="D12" s="7" t="s">
        <v>93</v>
      </c>
      <c r="E12" s="7" t="s">
        <v>66</v>
      </c>
      <c r="F12" s="7" t="s">
        <v>94</v>
      </c>
      <c r="G12" s="8" t="s">
        <v>68</v>
      </c>
      <c r="H12" s="8" t="s">
        <v>95</v>
      </c>
      <c r="I12" s="8" t="s">
        <v>96</v>
      </c>
    </row>
    <row r="13" customFormat="false" ht="23.85" hidden="false" customHeight="false" outlineLevel="0" collapsed="false">
      <c r="A13" s="10" t="s">
        <v>63</v>
      </c>
      <c r="B13" s="15" t="s">
        <v>63</v>
      </c>
      <c r="C13" s="7" t="s">
        <v>97</v>
      </c>
      <c r="D13" s="7" t="s">
        <v>98</v>
      </c>
      <c r="E13" s="7" t="s">
        <v>66</v>
      </c>
      <c r="F13" s="7" t="s">
        <v>94</v>
      </c>
      <c r="G13" s="8" t="s">
        <v>68</v>
      </c>
      <c r="H13" s="8" t="s">
        <v>99</v>
      </c>
      <c r="I13" s="8" t="s">
        <v>100</v>
      </c>
    </row>
    <row r="14" customFormat="false" ht="23.85" hidden="false" customHeight="false" outlineLevel="0" collapsed="false">
      <c r="A14" s="10" t="s">
        <v>63</v>
      </c>
      <c r="B14" s="15" t="s">
        <v>63</v>
      </c>
      <c r="C14" s="7" t="s">
        <v>101</v>
      </c>
      <c r="D14" s="7" t="s">
        <v>102</v>
      </c>
      <c r="E14" s="7" t="s">
        <v>66</v>
      </c>
      <c r="F14" s="7" t="s">
        <v>94</v>
      </c>
      <c r="G14" s="8" t="s">
        <v>68</v>
      </c>
      <c r="H14" s="8" t="s">
        <v>103</v>
      </c>
      <c r="I14" s="8" t="s">
        <v>104</v>
      </c>
    </row>
    <row r="15" customFormat="false" ht="35.05" hidden="false" customHeight="false" outlineLevel="0" collapsed="false">
      <c r="A15" s="10" t="s">
        <v>63</v>
      </c>
      <c r="B15" s="15" t="s">
        <v>63</v>
      </c>
      <c r="C15" s="7" t="s">
        <v>105</v>
      </c>
      <c r="D15" s="7" t="s">
        <v>106</v>
      </c>
      <c r="E15" s="7" t="s">
        <v>66</v>
      </c>
      <c r="F15" s="7" t="s">
        <v>94</v>
      </c>
      <c r="G15" s="8" t="s">
        <v>68</v>
      </c>
      <c r="H15" s="8" t="s">
        <v>107</v>
      </c>
      <c r="I15" s="8" t="s">
        <v>108</v>
      </c>
    </row>
    <row r="16" customFormat="false" ht="23.85" hidden="false" customHeight="false" outlineLevel="0" collapsed="false">
      <c r="A16" s="10" t="s">
        <v>63</v>
      </c>
      <c r="B16" s="15" t="s">
        <v>63</v>
      </c>
      <c r="C16" s="7" t="s">
        <v>109</v>
      </c>
      <c r="D16" s="7" t="s">
        <v>110</v>
      </c>
      <c r="E16" s="7" t="s">
        <v>66</v>
      </c>
      <c r="F16" s="7" t="s">
        <v>111</v>
      </c>
      <c r="G16" s="8" t="s">
        <v>68</v>
      </c>
      <c r="H16" s="8" t="s">
        <v>112</v>
      </c>
      <c r="I16" s="8" t="s">
        <v>113</v>
      </c>
    </row>
    <row r="17" customFormat="false" ht="23.85" hidden="false" customHeight="false" outlineLevel="0" collapsed="false">
      <c r="A17" s="10" t="s">
        <v>63</v>
      </c>
      <c r="B17" s="15" t="s">
        <v>63</v>
      </c>
      <c r="C17" s="7" t="s">
        <v>114</v>
      </c>
      <c r="D17" s="7" t="s">
        <v>115</v>
      </c>
      <c r="E17" s="7" t="s">
        <v>116</v>
      </c>
      <c r="F17" s="7" t="s">
        <v>94</v>
      </c>
      <c r="G17" s="8" t="s">
        <v>117</v>
      </c>
      <c r="H17" s="8" t="s">
        <v>118</v>
      </c>
      <c r="I17" s="8" t="s">
        <v>119</v>
      </c>
    </row>
    <row r="18" customFormat="false" ht="23.85" hidden="false" customHeight="false" outlineLevel="0" collapsed="false">
      <c r="A18" s="10" t="s">
        <v>63</v>
      </c>
      <c r="B18" s="15" t="s">
        <v>63</v>
      </c>
      <c r="C18" s="7" t="s">
        <v>120</v>
      </c>
      <c r="D18" s="7" t="s">
        <v>121</v>
      </c>
      <c r="E18" s="7" t="s">
        <v>116</v>
      </c>
      <c r="F18" s="7" t="s">
        <v>94</v>
      </c>
      <c r="G18" s="8" t="s">
        <v>122</v>
      </c>
      <c r="H18" s="8" t="s">
        <v>123</v>
      </c>
      <c r="I18" s="8" t="s">
        <v>124</v>
      </c>
    </row>
    <row r="19" customFormat="false" ht="23.85" hidden="false" customHeight="false" outlineLevel="0" collapsed="false">
      <c r="A19" s="10" t="s">
        <v>63</v>
      </c>
      <c r="B19" s="15" t="s">
        <v>63</v>
      </c>
      <c r="C19" s="7" t="s">
        <v>125</v>
      </c>
      <c r="D19" s="7" t="s">
        <v>126</v>
      </c>
      <c r="E19" s="7" t="s">
        <v>116</v>
      </c>
      <c r="F19" s="7" t="s">
        <v>94</v>
      </c>
      <c r="G19" s="8" t="s">
        <v>117</v>
      </c>
      <c r="H19" s="8" t="s">
        <v>127</v>
      </c>
      <c r="I19" s="8" t="s">
        <v>128</v>
      </c>
    </row>
    <row r="20" customFormat="false" ht="35.05" hidden="false" customHeight="false" outlineLevel="0" collapsed="false">
      <c r="A20" s="10" t="s">
        <v>63</v>
      </c>
      <c r="B20" s="15" t="s">
        <v>63</v>
      </c>
      <c r="C20" s="7" t="s">
        <v>129</v>
      </c>
      <c r="D20" s="7" t="s">
        <v>130</v>
      </c>
      <c r="E20" s="7" t="s">
        <v>116</v>
      </c>
      <c r="F20" s="7" t="s">
        <v>94</v>
      </c>
      <c r="G20" s="8" t="s">
        <v>122</v>
      </c>
      <c r="H20" s="8" t="s">
        <v>131</v>
      </c>
      <c r="I20" s="8" t="s">
        <v>132</v>
      </c>
    </row>
    <row r="21" customFormat="false" ht="23.85" hidden="false" customHeight="false" outlineLevel="0" collapsed="false">
      <c r="A21" s="10" t="s">
        <v>63</v>
      </c>
      <c r="B21" s="15" t="s">
        <v>63</v>
      </c>
      <c r="C21" s="7" t="s">
        <v>133</v>
      </c>
      <c r="D21" s="7" t="s">
        <v>134</v>
      </c>
      <c r="E21" s="7" t="s">
        <v>116</v>
      </c>
      <c r="F21" s="7" t="s">
        <v>94</v>
      </c>
      <c r="G21" s="8" t="s">
        <v>135</v>
      </c>
      <c r="H21" s="8" t="s">
        <v>136</v>
      </c>
      <c r="I21" s="8" t="s">
        <v>137</v>
      </c>
    </row>
    <row r="22" customFormat="false" ht="35.05" hidden="false" customHeight="false" outlineLevel="0" collapsed="false">
      <c r="A22" s="10" t="s">
        <v>63</v>
      </c>
      <c r="B22" s="15" t="s">
        <v>63</v>
      </c>
      <c r="C22" s="7" t="s">
        <v>138</v>
      </c>
      <c r="D22" s="7" t="s">
        <v>139</v>
      </c>
      <c r="E22" s="7" t="s">
        <v>116</v>
      </c>
      <c r="F22" s="7" t="s">
        <v>94</v>
      </c>
      <c r="G22" s="8" t="s">
        <v>122</v>
      </c>
      <c r="H22" s="8" t="s">
        <v>140</v>
      </c>
      <c r="I22" s="8" t="s">
        <v>141</v>
      </c>
    </row>
    <row r="23" customFormat="false" ht="23.85" hidden="false" customHeight="false" outlineLevel="0" collapsed="false">
      <c r="A23" s="10" t="s">
        <v>63</v>
      </c>
      <c r="B23" s="15" t="s">
        <v>63</v>
      </c>
      <c r="C23" s="7" t="s">
        <v>142</v>
      </c>
      <c r="D23" s="7" t="s">
        <v>143</v>
      </c>
      <c r="E23" s="7" t="s">
        <v>116</v>
      </c>
      <c r="F23" s="7" t="s">
        <v>144</v>
      </c>
      <c r="G23" s="8" t="s">
        <v>145</v>
      </c>
      <c r="H23" s="8" t="s">
        <v>146</v>
      </c>
      <c r="I23" s="8" t="s">
        <v>147</v>
      </c>
    </row>
    <row r="24" customFormat="false" ht="23.85" hidden="false" customHeight="false" outlineLevel="0" collapsed="false">
      <c r="A24" s="10" t="s">
        <v>63</v>
      </c>
      <c r="B24" s="15" t="s">
        <v>63</v>
      </c>
      <c r="C24" s="7" t="s">
        <v>148</v>
      </c>
      <c r="D24" s="7" t="s">
        <v>149</v>
      </c>
      <c r="E24" s="7" t="s">
        <v>116</v>
      </c>
      <c r="F24" s="7" t="s">
        <v>150</v>
      </c>
      <c r="G24" s="8" t="s">
        <v>145</v>
      </c>
      <c r="H24" s="8" t="s">
        <v>151</v>
      </c>
      <c r="I24" s="8" t="s">
        <v>152</v>
      </c>
    </row>
    <row r="25" customFormat="false" ht="23.85" hidden="false" customHeight="false" outlineLevel="0" collapsed="false">
      <c r="A25" s="10" t="s">
        <v>63</v>
      </c>
      <c r="B25" s="15" t="s">
        <v>63</v>
      </c>
      <c r="C25" s="7" t="s">
        <v>153</v>
      </c>
      <c r="D25" s="7" t="s">
        <v>154</v>
      </c>
      <c r="E25" s="7" t="s">
        <v>116</v>
      </c>
      <c r="F25" s="7" t="s">
        <v>155</v>
      </c>
      <c r="G25" s="8" t="s">
        <v>156</v>
      </c>
      <c r="H25" s="8" t="s">
        <v>157</v>
      </c>
      <c r="I25" s="8" t="s">
        <v>158</v>
      </c>
    </row>
    <row r="26" customFormat="false" ht="23.85" hidden="false" customHeight="false" outlineLevel="0" collapsed="false">
      <c r="A26" s="10" t="s">
        <v>63</v>
      </c>
      <c r="B26" s="15" t="s">
        <v>63</v>
      </c>
      <c r="C26" s="7" t="s">
        <v>159</v>
      </c>
      <c r="D26" s="7" t="s">
        <v>160</v>
      </c>
      <c r="E26" s="7" t="s">
        <v>116</v>
      </c>
      <c r="F26" s="7" t="s">
        <v>161</v>
      </c>
      <c r="G26" s="8" t="s">
        <v>35</v>
      </c>
      <c r="H26" s="8" t="s">
        <v>162</v>
      </c>
      <c r="I26" s="8" t="s">
        <v>163</v>
      </c>
    </row>
    <row r="27" customFormat="false" ht="23.85" hidden="false" customHeight="false" outlineLevel="0" collapsed="false">
      <c r="A27" s="10" t="s">
        <v>63</v>
      </c>
      <c r="B27" s="15" t="s">
        <v>63</v>
      </c>
      <c r="C27" s="7" t="s">
        <v>164</v>
      </c>
      <c r="D27" s="7" t="s">
        <v>165</v>
      </c>
      <c r="E27" s="7" t="s">
        <v>116</v>
      </c>
      <c r="F27" s="7" t="s">
        <v>166</v>
      </c>
      <c r="G27" s="8" t="s">
        <v>167</v>
      </c>
      <c r="H27" s="8" t="s">
        <v>168</v>
      </c>
      <c r="I27" s="8" t="s">
        <v>169</v>
      </c>
    </row>
    <row r="28" customFormat="false" ht="23.85" hidden="false" customHeight="false" outlineLevel="0" collapsed="false">
      <c r="A28" s="10" t="s">
        <v>63</v>
      </c>
      <c r="B28" s="15" t="s">
        <v>63</v>
      </c>
      <c r="C28" s="7" t="s">
        <v>170</v>
      </c>
      <c r="D28" s="7" t="s">
        <v>171</v>
      </c>
      <c r="E28" s="7" t="s">
        <v>116</v>
      </c>
      <c r="F28" s="7" t="s">
        <v>172</v>
      </c>
      <c r="G28" s="8" t="s">
        <v>173</v>
      </c>
      <c r="H28" s="8" t="s">
        <v>174</v>
      </c>
      <c r="I28" s="8" t="s">
        <v>175</v>
      </c>
    </row>
    <row r="29" customFormat="false" ht="35.05" hidden="false" customHeight="false" outlineLevel="0" collapsed="false">
      <c r="A29" s="10" t="s">
        <v>176</v>
      </c>
      <c r="B29" s="16" t="s">
        <v>177</v>
      </c>
      <c r="C29" s="7" t="s">
        <v>178</v>
      </c>
      <c r="D29" s="7" t="s">
        <v>179</v>
      </c>
      <c r="E29" s="7" t="s">
        <v>180</v>
      </c>
      <c r="F29" s="7" t="s">
        <v>181</v>
      </c>
      <c r="G29" s="7" t="s">
        <v>181</v>
      </c>
      <c r="H29" s="8" t="s">
        <v>182</v>
      </c>
      <c r="I29" s="7" t="s">
        <v>178</v>
      </c>
    </row>
    <row r="30" customFormat="false" ht="35.05" hidden="false" customHeight="false" outlineLevel="0" collapsed="false">
      <c r="A30" s="10" t="s">
        <v>176</v>
      </c>
      <c r="B30" s="16" t="s">
        <v>177</v>
      </c>
      <c r="C30" s="7" t="s">
        <v>183</v>
      </c>
      <c r="D30" s="7" t="s">
        <v>184</v>
      </c>
      <c r="E30" s="7" t="s">
        <v>180</v>
      </c>
      <c r="F30" s="7" t="s">
        <v>181</v>
      </c>
      <c r="G30" s="7" t="s">
        <v>181</v>
      </c>
      <c r="H30" s="8" t="s">
        <v>182</v>
      </c>
      <c r="I30" s="7" t="s">
        <v>183</v>
      </c>
    </row>
    <row r="32" customFormat="false" ht="15" hidden="false" customHeight="true" outlineLevel="0" collapsed="false">
      <c r="A32" s="17" t="s">
        <v>185</v>
      </c>
      <c r="B32" s="17"/>
      <c r="C32" s="17"/>
      <c r="D32" s="17"/>
      <c r="E32" s="17"/>
      <c r="F32" s="17"/>
      <c r="G32" s="17"/>
      <c r="H32" s="17"/>
      <c r="I32" s="17"/>
    </row>
  </sheetData>
  <autoFilter ref="A5:I30"/>
  <mergeCells count="3">
    <mergeCell ref="A1:I1"/>
    <mergeCell ref="A2:I2"/>
    <mergeCell ref="A32:I32"/>
  </mergeCells>
  <printOptions headings="false" gridLines="false" gridLinesSet="true" horizontalCentered="false" verticalCentered="false"/>
  <pageMargins left="0.4" right="0.4" top="0.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Cut-off 2026-03-31&amp;R&amp;8 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20"/>
    <col collapsed="false" customWidth="true" hidden="false" outlineLevel="0" max="5" min="5" style="0" width="26"/>
    <col collapsed="false" customWidth="true" hidden="false" outlineLevel="0" max="6" min="6" style="0" width="30"/>
    <col collapsed="false" customWidth="true" hidden="false" outlineLevel="0" max="8" min="7" style="0" width="13"/>
    <col collapsed="false" customWidth="true" hidden="false" outlineLevel="0" max="9" min="9" style="0" width="11"/>
    <col collapsed="false" customWidth="true" hidden="false" outlineLevel="0" max="10" min="10" style="0" width="12"/>
    <col collapsed="false" customWidth="true" hidden="false" outlineLevel="0" max="11" min="11" style="0" width="30"/>
  </cols>
  <sheetData>
    <row r="1" customFormat="false" ht="27.75" hidden="false" customHeight="true" outlineLevel="0" collapsed="false">
      <c r="A1" s="1" t="s">
        <v>186</v>
      </c>
      <c r="B1" s="1"/>
      <c r="C1" s="1"/>
      <c r="D1" s="1"/>
      <c r="E1" s="1"/>
      <c r="F1" s="1"/>
      <c r="G1" s="1"/>
      <c r="H1" s="1"/>
      <c r="I1" s="1"/>
      <c r="J1" s="1"/>
      <c r="K1" s="1"/>
    </row>
    <row r="2" customFormat="false" ht="15.75" hidden="false" customHeight="true" outlineLevel="0" collapsed="false">
      <c r="A2" s="2" t="s">
        <v>1</v>
      </c>
      <c r="B2" s="2"/>
      <c r="C2" s="2"/>
      <c r="D2" s="2"/>
      <c r="E2" s="2"/>
      <c r="F2" s="2"/>
      <c r="G2" s="2"/>
      <c r="H2" s="2"/>
      <c r="I2" s="2"/>
      <c r="J2" s="2"/>
      <c r="K2" s="2"/>
    </row>
    <row r="3" customFormat="false" ht="6" hidden="false" customHeight="true" outlineLevel="0" collapsed="false"/>
    <row r="5" customFormat="false" ht="27.75" hidden="false" customHeight="true" outlineLevel="0" collapsed="false">
      <c r="A5" s="6" t="s">
        <v>99</v>
      </c>
      <c r="B5" s="6" t="s">
        <v>187</v>
      </c>
      <c r="C5" s="6" t="s">
        <v>103</v>
      </c>
      <c r="D5" s="6" t="s">
        <v>188</v>
      </c>
      <c r="E5" s="6" t="s">
        <v>189</v>
      </c>
      <c r="F5" s="6" t="s">
        <v>190</v>
      </c>
      <c r="G5" s="6" t="s">
        <v>191</v>
      </c>
      <c r="H5" s="6" t="s">
        <v>192</v>
      </c>
      <c r="I5" s="6" t="s">
        <v>193</v>
      </c>
      <c r="J5" s="6" t="s">
        <v>194</v>
      </c>
      <c r="K5" s="6" t="s">
        <v>195</v>
      </c>
    </row>
    <row r="6" customFormat="false" ht="35.05" hidden="false" customHeight="false" outlineLevel="0" collapsed="false">
      <c r="A6" s="7" t="s">
        <v>196</v>
      </c>
      <c r="B6" s="7" t="s">
        <v>197</v>
      </c>
      <c r="C6" s="7" t="s">
        <v>198</v>
      </c>
      <c r="D6" s="8" t="s">
        <v>199</v>
      </c>
      <c r="E6" s="8" t="s">
        <v>200</v>
      </c>
      <c r="F6" s="8" t="s">
        <v>201</v>
      </c>
      <c r="G6" s="18" t="n">
        <v>25000</v>
      </c>
      <c r="H6" s="18" t="n">
        <v>25000</v>
      </c>
      <c r="I6" s="19" t="s">
        <v>181</v>
      </c>
      <c r="J6" s="19" t="s">
        <v>181</v>
      </c>
      <c r="K6" s="8" t="s">
        <v>202</v>
      </c>
    </row>
    <row r="7" customFormat="false" ht="35.05" hidden="false" customHeight="false" outlineLevel="0" collapsed="false">
      <c r="A7" s="7" t="s">
        <v>203</v>
      </c>
      <c r="B7" s="7" t="s">
        <v>204</v>
      </c>
      <c r="C7" s="7" t="s">
        <v>205</v>
      </c>
      <c r="D7" s="8" t="s">
        <v>206</v>
      </c>
      <c r="E7" s="8" t="s">
        <v>207</v>
      </c>
      <c r="F7" s="8" t="s">
        <v>208</v>
      </c>
      <c r="G7" s="18" t="n">
        <v>55000</v>
      </c>
      <c r="H7" s="18" t="n">
        <v>55000</v>
      </c>
      <c r="I7" s="19" t="s">
        <v>181</v>
      </c>
      <c r="J7" s="19" t="s">
        <v>181</v>
      </c>
      <c r="K7" s="8" t="s">
        <v>209</v>
      </c>
    </row>
    <row r="8" customFormat="false" ht="23.85" hidden="false" customHeight="false" outlineLevel="0" collapsed="false">
      <c r="A8" s="7" t="s">
        <v>203</v>
      </c>
      <c r="B8" s="7" t="s">
        <v>204</v>
      </c>
      <c r="C8" s="7" t="s">
        <v>210</v>
      </c>
      <c r="D8" s="8" t="s">
        <v>211</v>
      </c>
      <c r="E8" s="8" t="s">
        <v>207</v>
      </c>
      <c r="F8" s="8" t="s">
        <v>212</v>
      </c>
      <c r="G8" s="18" t="n">
        <v>35000</v>
      </c>
      <c r="H8" s="18" t="n">
        <v>35000</v>
      </c>
      <c r="I8" s="19" t="s">
        <v>181</v>
      </c>
      <c r="J8" s="19" t="s">
        <v>181</v>
      </c>
      <c r="K8" s="8" t="s">
        <v>209</v>
      </c>
    </row>
    <row r="9" customFormat="false" ht="23.85" hidden="false" customHeight="false" outlineLevel="0" collapsed="false">
      <c r="A9" s="7" t="s">
        <v>213</v>
      </c>
      <c r="B9" s="7" t="s">
        <v>214</v>
      </c>
      <c r="C9" s="7" t="s">
        <v>215</v>
      </c>
      <c r="D9" s="8" t="s">
        <v>216</v>
      </c>
      <c r="E9" s="8" t="s">
        <v>217</v>
      </c>
      <c r="F9" s="8" t="s">
        <v>218</v>
      </c>
      <c r="G9" s="18" t="n">
        <v>50000</v>
      </c>
      <c r="H9" s="18" t="n">
        <v>50000</v>
      </c>
      <c r="I9" s="19" t="s">
        <v>181</v>
      </c>
      <c r="J9" s="19" t="s">
        <v>181</v>
      </c>
      <c r="K9" s="8" t="s">
        <v>209</v>
      </c>
    </row>
    <row r="10" customFormat="false" ht="23.85" hidden="false" customHeight="false" outlineLevel="0" collapsed="false">
      <c r="A10" s="7" t="s">
        <v>219</v>
      </c>
      <c r="B10" s="7" t="s">
        <v>220</v>
      </c>
      <c r="C10" s="7" t="s">
        <v>221</v>
      </c>
      <c r="D10" s="8" t="s">
        <v>222</v>
      </c>
      <c r="E10" s="8" t="s">
        <v>223</v>
      </c>
      <c r="F10" s="8" t="s">
        <v>224</v>
      </c>
      <c r="G10" s="18" t="n">
        <v>20000</v>
      </c>
      <c r="H10" s="18" t="n">
        <v>20000</v>
      </c>
      <c r="I10" s="19" t="s">
        <v>181</v>
      </c>
      <c r="J10" s="19" t="s">
        <v>181</v>
      </c>
      <c r="K10" s="8" t="s">
        <v>209</v>
      </c>
    </row>
    <row r="11" customFormat="false" ht="35.05" hidden="false" customHeight="false" outlineLevel="0" collapsed="false">
      <c r="A11" s="7" t="s">
        <v>225</v>
      </c>
      <c r="B11" s="7" t="s">
        <v>181</v>
      </c>
      <c r="C11" s="7" t="s">
        <v>181</v>
      </c>
      <c r="D11" s="8" t="s">
        <v>226</v>
      </c>
      <c r="E11" s="8" t="s">
        <v>227</v>
      </c>
      <c r="F11" s="8" t="s">
        <v>228</v>
      </c>
      <c r="G11" s="18" t="n">
        <v>185000</v>
      </c>
      <c r="H11" s="18" t="n">
        <v>185000</v>
      </c>
      <c r="I11" s="18" t="n">
        <v>185000</v>
      </c>
      <c r="J11" s="18" t="n">
        <v>185000</v>
      </c>
      <c r="K11" s="8" t="s">
        <v>229</v>
      </c>
    </row>
    <row r="12" customFormat="false" ht="15" hidden="false" customHeight="false" outlineLevel="0" collapsed="false">
      <c r="D12" s="20" t="s">
        <v>230</v>
      </c>
      <c r="G12" s="21" t="n">
        <f aca="false">SUM(G6:G10)</f>
        <v>185000</v>
      </c>
      <c r="H12" s="21" t="n">
        <f aca="false">SUM(H6:H10)</f>
        <v>185000</v>
      </c>
    </row>
    <row r="14" customFormat="false" ht="15" hidden="false" customHeight="true" outlineLevel="0" collapsed="false">
      <c r="A14" s="17" t="s">
        <v>231</v>
      </c>
      <c r="B14" s="17"/>
      <c r="C14" s="17"/>
      <c r="D14" s="17"/>
      <c r="E14" s="17"/>
      <c r="F14" s="17"/>
      <c r="G14" s="17"/>
      <c r="H14" s="17"/>
      <c r="I14" s="17"/>
      <c r="J14" s="17"/>
      <c r="K14" s="17"/>
    </row>
  </sheetData>
  <autoFilter ref="A5:K11"/>
  <mergeCells count="3">
    <mergeCell ref="A1:K1"/>
    <mergeCell ref="A2:K2"/>
    <mergeCell ref="A14:K14"/>
  </mergeCells>
  <printOptions headings="false" gridLines="false" gridLinesSet="true" horizontalCentered="false" verticalCentered="false"/>
  <pageMargins left="0.4" right="0.4" top="0.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Cut-off 2026-03-31&amp;R&amp;8 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2"/>
    <col collapsed="false" customWidth="true" hidden="false" outlineLevel="0" max="4" min="4" style="0" width="16"/>
    <col collapsed="false" customWidth="true" hidden="false" outlineLevel="0" max="5" min="5" style="0" width="40"/>
    <col collapsed="false" customWidth="true" hidden="false" outlineLevel="0" max="6" min="6" style="0" width="30"/>
    <col collapsed="false" customWidth="true" hidden="false" outlineLevel="0" max="7" min="7" style="0" width="14"/>
    <col collapsed="false" customWidth="true" hidden="false" outlineLevel="0" max="8" min="8" style="0" width="26"/>
    <col collapsed="false" customWidth="true" hidden="false" outlineLevel="0" max="9" min="9" style="0" width="18"/>
  </cols>
  <sheetData>
    <row r="1" customFormat="false" ht="27.75" hidden="false" customHeight="true" outlineLevel="0" collapsed="false">
      <c r="A1" s="1" t="s">
        <v>232</v>
      </c>
      <c r="B1" s="1"/>
      <c r="C1" s="1"/>
      <c r="D1" s="1"/>
      <c r="E1" s="1"/>
      <c r="F1" s="1"/>
      <c r="G1" s="1"/>
      <c r="H1" s="1"/>
      <c r="I1" s="1"/>
    </row>
    <row r="2" customFormat="false" ht="15.75" hidden="false" customHeight="true" outlineLevel="0" collapsed="false">
      <c r="A2" s="2" t="s">
        <v>1</v>
      </c>
      <c r="B2" s="2"/>
      <c r="C2" s="2"/>
      <c r="D2" s="2"/>
      <c r="E2" s="2"/>
      <c r="F2" s="2"/>
      <c r="G2" s="2"/>
      <c r="H2" s="2"/>
      <c r="I2" s="2"/>
    </row>
    <row r="3" customFormat="false" ht="6" hidden="false" customHeight="true" outlineLevel="0" collapsed="false"/>
    <row r="5" customFormat="false" ht="27.75" hidden="false" customHeight="true" outlineLevel="0" collapsed="false">
      <c r="A5" s="6" t="s">
        <v>27</v>
      </c>
      <c r="B5" s="6" t="s">
        <v>233</v>
      </c>
      <c r="C5" s="6" t="s">
        <v>234</v>
      </c>
      <c r="D5" s="6" t="s">
        <v>30</v>
      </c>
      <c r="E5" s="6" t="s">
        <v>235</v>
      </c>
      <c r="F5" s="6" t="s">
        <v>236</v>
      </c>
      <c r="G5" s="6" t="s">
        <v>31</v>
      </c>
      <c r="H5" s="6" t="s">
        <v>237</v>
      </c>
      <c r="I5" s="6" t="s">
        <v>32</v>
      </c>
    </row>
    <row r="6" customFormat="false" ht="129.75" hidden="false" customHeight="true" outlineLevel="0" collapsed="false">
      <c r="A6" s="22" t="s">
        <v>33</v>
      </c>
      <c r="B6" s="8" t="s">
        <v>34</v>
      </c>
      <c r="C6" s="23" t="n">
        <v>2</v>
      </c>
      <c r="D6" s="24" t="str">
        <f aca="false">IF(C6=2,"PASS",IF(C6=1,"BOUNDED LIMITATION","CRITICAL FAILURE"))</f>
        <v>PASS</v>
      </c>
      <c r="E6" s="8" t="s">
        <v>238</v>
      </c>
      <c r="F6" s="8" t="s">
        <v>239</v>
      </c>
      <c r="G6" s="10" t="s">
        <v>240</v>
      </c>
      <c r="H6" s="8" t="s">
        <v>241</v>
      </c>
      <c r="I6" s="8" t="s">
        <v>35</v>
      </c>
    </row>
    <row r="7" customFormat="false" ht="129.75" hidden="false" customHeight="true" outlineLevel="0" collapsed="false">
      <c r="A7" s="22" t="s">
        <v>36</v>
      </c>
      <c r="B7" s="8" t="s">
        <v>37</v>
      </c>
      <c r="C7" s="23" t="n">
        <v>2</v>
      </c>
      <c r="D7" s="24" t="str">
        <f aca="false">IF(C7=2,"PASS",IF(C7=1,"BOUNDED LIMITATION","CRITICAL FAILURE"))</f>
        <v>PASS</v>
      </c>
      <c r="E7" s="8" t="s">
        <v>242</v>
      </c>
      <c r="F7" s="8" t="s">
        <v>243</v>
      </c>
      <c r="G7" s="10" t="s">
        <v>240</v>
      </c>
      <c r="H7" s="8" t="s">
        <v>244</v>
      </c>
      <c r="I7" s="8" t="s">
        <v>35</v>
      </c>
    </row>
    <row r="8" customFormat="false" ht="129.75" hidden="false" customHeight="true" outlineLevel="0" collapsed="false">
      <c r="A8" s="22" t="s">
        <v>38</v>
      </c>
      <c r="B8" s="8" t="s">
        <v>39</v>
      </c>
      <c r="C8" s="23" t="n">
        <v>1</v>
      </c>
      <c r="D8" s="24" t="str">
        <f aca="false">IF(C8=2,"PASS",IF(C8=1,"BOUNDED LIMITATION","CRITICAL FAILURE"))</f>
        <v>BOUNDED LIMITATION</v>
      </c>
      <c r="E8" s="8" t="s">
        <v>245</v>
      </c>
      <c r="F8" s="8" t="s">
        <v>246</v>
      </c>
      <c r="G8" s="10" t="s">
        <v>240</v>
      </c>
      <c r="H8" s="8" t="s">
        <v>247</v>
      </c>
      <c r="I8" s="8" t="s">
        <v>40</v>
      </c>
    </row>
    <row r="9" customFormat="false" ht="129.75" hidden="false" customHeight="true" outlineLevel="0" collapsed="false">
      <c r="A9" s="22" t="s">
        <v>41</v>
      </c>
      <c r="B9" s="8" t="s">
        <v>42</v>
      </c>
      <c r="C9" s="23" t="n">
        <v>2</v>
      </c>
      <c r="D9" s="24" t="str">
        <f aca="false">IF(C9=2,"PASS",IF(C9=1,"BOUNDED LIMITATION","CRITICAL FAILURE"))</f>
        <v>PASS</v>
      </c>
      <c r="E9" s="8" t="s">
        <v>248</v>
      </c>
      <c r="F9" s="8" t="s">
        <v>249</v>
      </c>
      <c r="G9" s="10" t="s">
        <v>240</v>
      </c>
      <c r="H9" s="8" t="s">
        <v>250</v>
      </c>
      <c r="I9" s="8" t="s">
        <v>35</v>
      </c>
    </row>
    <row r="10" customFormat="false" ht="15" hidden="false" customHeight="false" outlineLevel="0" collapsed="false">
      <c r="B10" s="22" t="s">
        <v>251</v>
      </c>
      <c r="C10" s="25" t="n">
        <f aca="false">SUM(C6:C9)</f>
        <v>7</v>
      </c>
    </row>
    <row r="11" customFormat="false" ht="15" hidden="false" customHeight="false" outlineLevel="0" collapsed="false">
      <c r="B11" s="22" t="s">
        <v>44</v>
      </c>
      <c r="C11" s="25" t="n">
        <f aca="false">SUMPRODUCT(--(C6:C9=0))</f>
        <v>0</v>
      </c>
    </row>
    <row r="12" customFormat="false" ht="15" hidden="false" customHeight="false" outlineLevel="0" collapsed="false">
      <c r="B12" s="26" t="s">
        <v>252</v>
      </c>
    </row>
  </sheetData>
  <autoFilter ref="A5:I9"/>
  <mergeCells count="2">
    <mergeCell ref="A1:I1"/>
    <mergeCell ref="A2:I2"/>
  </mergeCells>
  <conditionalFormatting sqref="C6:C9">
    <cfRule type="cellIs" priority="2" operator="equal" aboveAverage="0" equalAverage="0" bottom="0" percent="0" rank="0" text="" dxfId="10">
      <formula>2</formula>
    </cfRule>
    <cfRule type="cellIs" priority="3" operator="equal" aboveAverage="0" equalAverage="0" bottom="0" percent="0" rank="0" text="" dxfId="11">
      <formula>1</formula>
    </cfRule>
    <cfRule type="cellIs" priority="4" operator="equal" aboveAverage="0" equalAverage="0" bottom="0" percent="0" rank="0" text="" dxfId="12">
      <formula>0</formula>
    </cfRule>
  </conditionalFormatting>
  <dataValidations count="2">
    <dataValidation allowBlank="false" errorStyle="stop" operator="between" showDropDown="false" showErrorMessage="false" showInputMessage="false" sqref="C6:C9" type="list">
      <formula1>"0,1,2"</formula1>
      <formula2>0</formula2>
    </dataValidation>
    <dataValidation allowBlank="false" errorStyle="stop" operator="between" showDropDown="false" showErrorMessage="false" showInputMessage="false" sqref="G6:G9" type="list">
      <formula1>"Yes,No"</formula1>
      <formula2>0</formula2>
    </dataValidation>
  </dataValidations>
  <printOptions headings="false" gridLines="false" gridLinesSet="true" horizontalCentered="false" verticalCentered="false"/>
  <pageMargins left="0.4" right="0.4" top="0.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Cut-off 2026-03-31&amp;R&amp;8 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16"/>
    <col collapsed="false" customWidth="true" hidden="false" outlineLevel="0" max="4" min="4" style="0" width="12"/>
    <col collapsed="false" customWidth="true" hidden="false" outlineLevel="0" max="5" min="5" style="0" width="34"/>
    <col collapsed="false" customWidth="true" hidden="false" outlineLevel="0" max="6" min="6" style="0" width="20"/>
    <col collapsed="false" customWidth="true" hidden="false" outlineLevel="0" max="7" min="7" style="0" width="42"/>
    <col collapsed="false" customWidth="true" hidden="false" outlineLevel="0" max="8" min="8" style="0" width="30"/>
    <col collapsed="false" customWidth="true" hidden="false" outlineLevel="0" max="9" min="9" style="0" width="18"/>
  </cols>
  <sheetData>
    <row r="1" customFormat="false" ht="27.75" hidden="false" customHeight="true" outlineLevel="0" collapsed="false">
      <c r="A1" s="1" t="s">
        <v>253</v>
      </c>
      <c r="B1" s="1"/>
      <c r="C1" s="1"/>
      <c r="D1" s="1"/>
      <c r="E1" s="1"/>
      <c r="F1" s="1"/>
      <c r="G1" s="1"/>
      <c r="H1" s="1"/>
      <c r="I1" s="1"/>
    </row>
    <row r="2" customFormat="false" ht="15.75" hidden="false" customHeight="true" outlineLevel="0" collapsed="false">
      <c r="A2" s="2" t="s">
        <v>1</v>
      </c>
      <c r="B2" s="2"/>
      <c r="C2" s="2"/>
      <c r="D2" s="2"/>
      <c r="E2" s="2"/>
      <c r="F2" s="2"/>
      <c r="G2" s="2"/>
      <c r="H2" s="2"/>
      <c r="I2" s="2"/>
    </row>
    <row r="3" customFormat="false" ht="6" hidden="false" customHeight="true" outlineLevel="0" collapsed="false"/>
    <row r="5" customFormat="false" ht="27.75" hidden="false" customHeight="true" outlineLevel="0" collapsed="false">
      <c r="A5" s="6" t="s">
        <v>254</v>
      </c>
      <c r="B5" s="6" t="s">
        <v>255</v>
      </c>
      <c r="C5" s="6" t="s">
        <v>256</v>
      </c>
      <c r="D5" s="6" t="s">
        <v>257</v>
      </c>
      <c r="E5" s="6" t="s">
        <v>258</v>
      </c>
      <c r="F5" s="6" t="s">
        <v>259</v>
      </c>
      <c r="G5" s="6" t="s">
        <v>235</v>
      </c>
      <c r="H5" s="6" t="s">
        <v>260</v>
      </c>
      <c r="I5" s="6" t="s">
        <v>32</v>
      </c>
    </row>
    <row r="6" customFormat="false" ht="129.75" hidden="false" customHeight="true" outlineLevel="0" collapsed="false">
      <c r="A6" s="22" t="s">
        <v>261</v>
      </c>
      <c r="B6" s="8" t="s">
        <v>262</v>
      </c>
      <c r="C6" s="7" t="s">
        <v>263</v>
      </c>
      <c r="D6" s="10" t="s">
        <v>264</v>
      </c>
      <c r="E6" s="8" t="s">
        <v>265</v>
      </c>
      <c r="F6" s="27" t="s">
        <v>266</v>
      </c>
      <c r="G6" s="8" t="s">
        <v>267</v>
      </c>
      <c r="H6" s="8" t="s">
        <v>268</v>
      </c>
      <c r="I6" s="8" t="s">
        <v>135</v>
      </c>
    </row>
    <row r="7" customFormat="false" ht="129.75" hidden="false" customHeight="true" outlineLevel="0" collapsed="false">
      <c r="A7" s="22" t="s">
        <v>269</v>
      </c>
      <c r="B7" s="8" t="s">
        <v>270</v>
      </c>
      <c r="C7" s="7" t="s">
        <v>271</v>
      </c>
      <c r="D7" s="10" t="s">
        <v>264</v>
      </c>
      <c r="E7" s="8" t="s">
        <v>272</v>
      </c>
      <c r="F7" s="27" t="s">
        <v>273</v>
      </c>
      <c r="G7" s="8" t="s">
        <v>274</v>
      </c>
      <c r="H7" s="8" t="s">
        <v>275</v>
      </c>
      <c r="I7" s="8" t="s">
        <v>135</v>
      </c>
    </row>
    <row r="8" customFormat="false" ht="129.75" hidden="false" customHeight="true" outlineLevel="0" collapsed="false">
      <c r="A8" s="22" t="s">
        <v>276</v>
      </c>
      <c r="B8" s="8" t="s">
        <v>277</v>
      </c>
      <c r="C8" s="7" t="s">
        <v>278</v>
      </c>
      <c r="D8" s="10" t="s">
        <v>264</v>
      </c>
      <c r="E8" s="8" t="s">
        <v>279</v>
      </c>
      <c r="F8" s="28" t="s">
        <v>280</v>
      </c>
      <c r="G8" s="8" t="s">
        <v>281</v>
      </c>
      <c r="H8" s="8" t="s">
        <v>282</v>
      </c>
      <c r="I8" s="8" t="s">
        <v>35</v>
      </c>
    </row>
    <row r="9" customFormat="false" ht="129.75" hidden="false" customHeight="true" outlineLevel="0" collapsed="false">
      <c r="A9" s="22" t="s">
        <v>283</v>
      </c>
      <c r="B9" s="8" t="s">
        <v>284</v>
      </c>
      <c r="C9" s="7" t="s">
        <v>285</v>
      </c>
      <c r="D9" s="10" t="s">
        <v>38</v>
      </c>
      <c r="E9" s="8" t="s">
        <v>286</v>
      </c>
      <c r="F9" s="28" t="s">
        <v>280</v>
      </c>
      <c r="G9" s="8" t="s">
        <v>287</v>
      </c>
      <c r="H9" s="8" t="s">
        <v>288</v>
      </c>
      <c r="I9" s="8" t="s">
        <v>135</v>
      </c>
    </row>
    <row r="10" customFormat="false" ht="129.75" hidden="false" customHeight="true" outlineLevel="0" collapsed="false">
      <c r="A10" s="22" t="s">
        <v>289</v>
      </c>
      <c r="B10" s="8" t="s">
        <v>290</v>
      </c>
      <c r="C10" s="7" t="s">
        <v>291</v>
      </c>
      <c r="D10" s="10" t="s">
        <v>292</v>
      </c>
      <c r="E10" s="8" t="s">
        <v>293</v>
      </c>
      <c r="F10" s="27" t="s">
        <v>294</v>
      </c>
      <c r="G10" s="8" t="s">
        <v>295</v>
      </c>
      <c r="H10" s="8" t="s">
        <v>296</v>
      </c>
      <c r="I10" s="8" t="s">
        <v>135</v>
      </c>
    </row>
    <row r="11" customFormat="false" ht="129.75" hidden="false" customHeight="true" outlineLevel="0" collapsed="false">
      <c r="A11" s="22" t="s">
        <v>297</v>
      </c>
      <c r="B11" s="8" t="s">
        <v>298</v>
      </c>
      <c r="C11" s="7" t="s">
        <v>299</v>
      </c>
      <c r="D11" s="10" t="s">
        <v>38</v>
      </c>
      <c r="E11" s="8" t="s">
        <v>300</v>
      </c>
      <c r="F11" s="28" t="s">
        <v>280</v>
      </c>
      <c r="G11" s="8" t="s">
        <v>301</v>
      </c>
      <c r="H11" s="8" t="s">
        <v>302</v>
      </c>
      <c r="I11" s="8" t="s">
        <v>122</v>
      </c>
    </row>
    <row r="12" customFormat="false" ht="129.75" hidden="false" customHeight="true" outlineLevel="0" collapsed="false">
      <c r="A12" s="22" t="s">
        <v>303</v>
      </c>
      <c r="B12" s="8" t="s">
        <v>304</v>
      </c>
      <c r="C12" s="7" t="s">
        <v>305</v>
      </c>
      <c r="D12" s="10" t="s">
        <v>306</v>
      </c>
      <c r="E12" s="8" t="s">
        <v>307</v>
      </c>
      <c r="F12" s="27" t="s">
        <v>308</v>
      </c>
      <c r="G12" s="8" t="s">
        <v>309</v>
      </c>
      <c r="H12" s="8" t="s">
        <v>310</v>
      </c>
      <c r="I12" s="8" t="s">
        <v>135</v>
      </c>
    </row>
    <row r="13" customFormat="false" ht="129.75" hidden="false" customHeight="true" outlineLevel="0" collapsed="false">
      <c r="A13" s="22" t="s">
        <v>311</v>
      </c>
      <c r="B13" s="8" t="s">
        <v>312</v>
      </c>
      <c r="C13" s="7" t="s">
        <v>313</v>
      </c>
      <c r="D13" s="10" t="s">
        <v>314</v>
      </c>
      <c r="E13" s="8" t="s">
        <v>315</v>
      </c>
      <c r="F13" s="28" t="s">
        <v>316</v>
      </c>
      <c r="G13" s="8" t="s">
        <v>317</v>
      </c>
      <c r="H13" s="8" t="s">
        <v>302</v>
      </c>
      <c r="I13" s="8" t="s">
        <v>35</v>
      </c>
    </row>
    <row r="14" customFormat="false" ht="129.75" hidden="false" customHeight="true" outlineLevel="0" collapsed="false">
      <c r="A14" s="22" t="s">
        <v>318</v>
      </c>
      <c r="B14" s="8" t="s">
        <v>319</v>
      </c>
      <c r="C14" s="7" t="s">
        <v>313</v>
      </c>
      <c r="D14" s="10" t="s">
        <v>314</v>
      </c>
      <c r="E14" s="8" t="s">
        <v>320</v>
      </c>
      <c r="F14" s="27" t="s">
        <v>294</v>
      </c>
      <c r="G14" s="8" t="s">
        <v>321</v>
      </c>
      <c r="H14" s="8" t="s">
        <v>322</v>
      </c>
      <c r="I14" s="8" t="s">
        <v>323</v>
      </c>
    </row>
    <row r="15" customFormat="false" ht="129.75" hidden="false" customHeight="true" outlineLevel="0" collapsed="false">
      <c r="A15" s="22" t="s">
        <v>324</v>
      </c>
      <c r="B15" s="8" t="s">
        <v>325</v>
      </c>
      <c r="C15" s="7" t="s">
        <v>326</v>
      </c>
      <c r="D15" s="10" t="s">
        <v>292</v>
      </c>
      <c r="E15" s="8" t="s">
        <v>327</v>
      </c>
      <c r="F15" s="27" t="s">
        <v>294</v>
      </c>
      <c r="G15" s="8" t="s">
        <v>328</v>
      </c>
      <c r="H15" s="8" t="s">
        <v>329</v>
      </c>
      <c r="I15" s="8" t="s">
        <v>135</v>
      </c>
    </row>
    <row r="16" customFormat="false" ht="129.75" hidden="false" customHeight="true" outlineLevel="0" collapsed="false">
      <c r="A16" s="22" t="s">
        <v>330</v>
      </c>
      <c r="B16" s="8" t="s">
        <v>331</v>
      </c>
      <c r="C16" s="7" t="s">
        <v>332</v>
      </c>
      <c r="D16" s="10" t="s">
        <v>264</v>
      </c>
      <c r="E16" s="8" t="s">
        <v>333</v>
      </c>
      <c r="F16" s="28" t="s">
        <v>316</v>
      </c>
      <c r="G16" s="8" t="s">
        <v>334</v>
      </c>
      <c r="H16" s="8" t="s">
        <v>335</v>
      </c>
      <c r="I16" s="8" t="s">
        <v>35</v>
      </c>
    </row>
    <row r="17" customFormat="false" ht="129.75" hidden="false" customHeight="true" outlineLevel="0" collapsed="false">
      <c r="A17" s="22" t="s">
        <v>336</v>
      </c>
      <c r="B17" s="8" t="s">
        <v>337</v>
      </c>
      <c r="C17" s="7" t="s">
        <v>338</v>
      </c>
      <c r="D17" s="10" t="s">
        <v>41</v>
      </c>
      <c r="E17" s="8" t="s">
        <v>339</v>
      </c>
      <c r="F17" s="28" t="s">
        <v>280</v>
      </c>
      <c r="G17" s="8" t="s">
        <v>340</v>
      </c>
      <c r="H17" s="8" t="s">
        <v>341</v>
      </c>
      <c r="I17" s="8" t="s">
        <v>135</v>
      </c>
    </row>
  </sheetData>
  <autoFilter ref="A5:I17"/>
  <mergeCells count="2">
    <mergeCell ref="A1:I1"/>
    <mergeCell ref="A2:I2"/>
  </mergeCells>
  <printOptions headings="false" gridLines="false" gridLinesSet="true" horizontalCentered="false" verticalCentered="false"/>
  <pageMargins left="0.4" right="0.4" top="0.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Cut-off 2026-03-31&amp;R&amp;8 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0"/>
    <col collapsed="false" customWidth="true" hidden="false" outlineLevel="0" max="4" min="4" style="0" width="40"/>
  </cols>
  <sheetData>
    <row r="1" customFormat="false" ht="27.75" hidden="false" customHeight="true" outlineLevel="0" collapsed="false">
      <c r="A1" s="1" t="s">
        <v>342</v>
      </c>
      <c r="B1" s="1"/>
      <c r="C1" s="1"/>
      <c r="D1" s="1"/>
    </row>
    <row r="2" customFormat="false" ht="15.75" hidden="false" customHeight="true" outlineLevel="0" collapsed="false">
      <c r="A2" s="2" t="s">
        <v>1</v>
      </c>
      <c r="B2" s="2"/>
      <c r="C2" s="2"/>
      <c r="D2" s="2"/>
    </row>
    <row r="3" customFormat="false" ht="6" hidden="false" customHeight="true" outlineLevel="0" collapsed="false"/>
    <row r="5" customFormat="false" ht="27.75" hidden="false" customHeight="true" outlineLevel="0" collapsed="false">
      <c r="A5" s="6" t="s">
        <v>343</v>
      </c>
      <c r="B5" s="6" t="s">
        <v>344</v>
      </c>
      <c r="C5" s="6" t="s">
        <v>345</v>
      </c>
      <c r="D5" s="6" t="s">
        <v>346</v>
      </c>
    </row>
    <row r="6" customFormat="false" ht="72" hidden="false" customHeight="true" outlineLevel="0" collapsed="false">
      <c r="A6" s="8" t="s">
        <v>347</v>
      </c>
      <c r="B6" s="8" t="s">
        <v>348</v>
      </c>
      <c r="C6" s="28" t="s">
        <v>316</v>
      </c>
      <c r="D6" s="8" t="s">
        <v>348</v>
      </c>
    </row>
    <row r="7" customFormat="false" ht="72" hidden="false" customHeight="true" outlineLevel="0" collapsed="false">
      <c r="A7" s="8" t="s">
        <v>349</v>
      </c>
      <c r="B7" s="8" t="s">
        <v>350</v>
      </c>
      <c r="C7" s="27" t="s">
        <v>351</v>
      </c>
      <c r="D7" s="8" t="s">
        <v>352</v>
      </c>
    </row>
    <row r="8" customFormat="false" ht="72" hidden="false" customHeight="true" outlineLevel="0" collapsed="false">
      <c r="A8" s="8" t="s">
        <v>353</v>
      </c>
      <c r="B8" s="8" t="s">
        <v>354</v>
      </c>
      <c r="C8" s="27" t="s">
        <v>351</v>
      </c>
      <c r="D8" s="8" t="s">
        <v>355</v>
      </c>
    </row>
    <row r="9" customFormat="false" ht="72" hidden="false" customHeight="true" outlineLevel="0" collapsed="false">
      <c r="A9" s="8" t="s">
        <v>356</v>
      </c>
      <c r="B9" s="8" t="s">
        <v>357</v>
      </c>
      <c r="C9" s="28" t="s">
        <v>316</v>
      </c>
      <c r="D9" s="8" t="s">
        <v>357</v>
      </c>
    </row>
    <row r="11" customFormat="false" ht="30" hidden="false" customHeight="true" outlineLevel="0" collapsed="false">
      <c r="A11" s="29" t="s">
        <v>358</v>
      </c>
      <c r="B11" s="29"/>
      <c r="C11" s="29"/>
      <c r="D11" s="29"/>
    </row>
    <row r="12" customFormat="false" ht="15" hidden="false" customHeight="true" outlineLevel="0" collapsed="false">
      <c r="A12" s="29" t="s">
        <v>359</v>
      </c>
      <c r="B12" s="29"/>
      <c r="C12" s="29"/>
      <c r="D12" s="29"/>
    </row>
    <row r="13" customFormat="false" ht="30" hidden="false" customHeight="true" outlineLevel="0" collapsed="false">
      <c r="A13" s="29" t="s">
        <v>360</v>
      </c>
      <c r="B13" s="29"/>
      <c r="C13" s="29"/>
      <c r="D13" s="29"/>
    </row>
  </sheetData>
  <autoFilter ref="A5:D9"/>
  <mergeCells count="5">
    <mergeCell ref="A1:D1"/>
    <mergeCell ref="A2:D2"/>
    <mergeCell ref="A11:D11"/>
    <mergeCell ref="A12:D12"/>
    <mergeCell ref="A13:D13"/>
  </mergeCells>
  <printOptions headings="false" gridLines="false" gridLinesSet="true" horizontalCentered="false" verticalCentered="false"/>
  <pageMargins left="0.4" right="0.4" top="0.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Cut-off 2026-03-31&amp;R&amp;8 Page &amp;P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8"/>
    <col collapsed="false" customWidth="true" hidden="false" outlineLevel="0" max="4" min="4" style="0" width="22"/>
    <col collapsed="false" customWidth="true" hidden="false" outlineLevel="0" max="5" min="5" style="0" width="24"/>
    <col collapsed="false" customWidth="true" hidden="false" outlineLevel="0" max="6" min="6" style="0" width="20"/>
    <col collapsed="false" customWidth="true" hidden="false" outlineLevel="0" max="7" min="7" style="0" width="16"/>
    <col collapsed="false" customWidth="true" hidden="false" outlineLevel="0" max="8" min="8" style="0" width="14"/>
    <col collapsed="false" customWidth="true" hidden="false" outlineLevel="0" max="9" min="9" style="0" width="28"/>
  </cols>
  <sheetData>
    <row r="1" customFormat="false" ht="27.75" hidden="false" customHeight="true" outlineLevel="0" collapsed="false">
      <c r="A1" s="1" t="s">
        <v>361</v>
      </c>
      <c r="B1" s="1"/>
      <c r="C1" s="1"/>
      <c r="D1" s="1"/>
      <c r="E1" s="1"/>
      <c r="F1" s="1"/>
      <c r="G1" s="1"/>
      <c r="H1" s="1"/>
      <c r="I1" s="1"/>
    </row>
    <row r="2" customFormat="false" ht="15.75" hidden="false" customHeight="true" outlineLevel="0" collapsed="false">
      <c r="A2" s="2" t="s">
        <v>1</v>
      </c>
      <c r="B2" s="2"/>
      <c r="C2" s="2"/>
      <c r="D2" s="2"/>
      <c r="E2" s="2"/>
      <c r="F2" s="2"/>
      <c r="G2" s="2"/>
      <c r="H2" s="2"/>
      <c r="I2" s="2"/>
    </row>
    <row r="3" customFormat="false" ht="6" hidden="false" customHeight="true" outlineLevel="0" collapsed="false"/>
    <row r="5" customFormat="false" ht="27.75" hidden="false" customHeight="true" outlineLevel="0" collapsed="false">
      <c r="A5" s="6" t="s">
        <v>362</v>
      </c>
      <c r="B5" s="6" t="s">
        <v>363</v>
      </c>
      <c r="C5" s="6" t="s">
        <v>364</v>
      </c>
      <c r="D5" s="6" t="s">
        <v>237</v>
      </c>
      <c r="E5" s="6" t="s">
        <v>365</v>
      </c>
      <c r="F5" s="6" t="s">
        <v>366</v>
      </c>
      <c r="G5" s="6" t="s">
        <v>367</v>
      </c>
      <c r="H5" s="6" t="s">
        <v>368</v>
      </c>
      <c r="I5" s="6" t="s">
        <v>369</v>
      </c>
    </row>
    <row r="6" customFormat="false" ht="15" hidden="false" customHeight="false" outlineLevel="0" collapsed="false">
      <c r="A6" s="30" t="s">
        <v>370</v>
      </c>
      <c r="B6" s="30"/>
      <c r="C6" s="30"/>
      <c r="D6" s="30"/>
      <c r="E6" s="30"/>
      <c r="F6" s="30"/>
      <c r="G6" s="30"/>
      <c r="H6" s="30"/>
      <c r="I6" s="30"/>
    </row>
    <row r="7" customFormat="false" ht="94.5" hidden="false" customHeight="true" outlineLevel="0" collapsed="false">
      <c r="A7" s="22" t="s">
        <v>371</v>
      </c>
      <c r="B7" s="8" t="s">
        <v>372</v>
      </c>
      <c r="C7" s="8" t="s">
        <v>373</v>
      </c>
      <c r="D7" s="8" t="s">
        <v>374</v>
      </c>
      <c r="E7" s="8" t="s">
        <v>329</v>
      </c>
      <c r="F7" s="8" t="s">
        <v>40</v>
      </c>
      <c r="G7" s="10" t="s">
        <v>375</v>
      </c>
      <c r="H7" s="31" t="s">
        <v>376</v>
      </c>
      <c r="I7" s="8" t="s">
        <v>377</v>
      </c>
    </row>
    <row r="9" customFormat="false" ht="15" hidden="false" customHeight="false" outlineLevel="0" collapsed="false">
      <c r="A9" s="32" t="s">
        <v>378</v>
      </c>
      <c r="B9" s="32"/>
      <c r="C9" s="32"/>
      <c r="D9" s="32"/>
      <c r="E9" s="32"/>
      <c r="F9" s="32"/>
      <c r="G9" s="32"/>
      <c r="H9" s="32"/>
      <c r="I9" s="32"/>
    </row>
    <row r="10" customFormat="false" ht="39.75" hidden="false" customHeight="true" outlineLevel="0" collapsed="false">
      <c r="A10" s="22" t="s">
        <v>379</v>
      </c>
      <c r="B10" s="4" t="s">
        <v>380</v>
      </c>
      <c r="C10" s="4"/>
      <c r="D10" s="4"/>
      <c r="E10" s="4"/>
      <c r="F10" s="4"/>
      <c r="G10" s="4" t="s">
        <v>381</v>
      </c>
      <c r="H10" s="4"/>
      <c r="I10" s="4"/>
    </row>
    <row r="11" customFormat="false" ht="39.75" hidden="false" customHeight="true" outlineLevel="0" collapsed="false">
      <c r="A11" s="22" t="s">
        <v>382</v>
      </c>
      <c r="B11" s="4" t="s">
        <v>383</v>
      </c>
      <c r="C11" s="4"/>
      <c r="D11" s="4"/>
      <c r="E11" s="4"/>
      <c r="F11" s="4"/>
      <c r="G11" s="4" t="s">
        <v>384</v>
      </c>
      <c r="H11" s="4"/>
      <c r="I11" s="4"/>
    </row>
    <row r="12" customFormat="false" ht="39.75" hidden="false" customHeight="true" outlineLevel="0" collapsed="false">
      <c r="A12" s="22" t="s">
        <v>385</v>
      </c>
      <c r="B12" s="4" t="s">
        <v>386</v>
      </c>
      <c r="C12" s="4"/>
      <c r="D12" s="4"/>
      <c r="E12" s="4"/>
      <c r="F12" s="4"/>
      <c r="G12" s="4" t="s">
        <v>387</v>
      </c>
      <c r="H12" s="4"/>
      <c r="I12" s="4"/>
    </row>
    <row r="14" customFormat="false" ht="15" hidden="false" customHeight="false" outlineLevel="0" collapsed="false">
      <c r="A14" s="30" t="s">
        <v>388</v>
      </c>
      <c r="B14" s="30"/>
      <c r="C14" s="30"/>
      <c r="D14" s="30"/>
      <c r="E14" s="30"/>
      <c r="F14" s="30"/>
      <c r="G14" s="30"/>
      <c r="H14" s="30"/>
      <c r="I14" s="30"/>
    </row>
    <row r="15" customFormat="false" ht="48" hidden="false" customHeight="true" outlineLevel="0" collapsed="false">
      <c r="A15" s="22" t="s">
        <v>389</v>
      </c>
      <c r="B15" s="8" t="s">
        <v>390</v>
      </c>
      <c r="C15" s="8" t="s">
        <v>391</v>
      </c>
      <c r="D15" s="8" t="s">
        <v>392</v>
      </c>
      <c r="E15" s="8" t="s">
        <v>393</v>
      </c>
      <c r="F15" s="8" t="s">
        <v>135</v>
      </c>
      <c r="G15" s="10" t="s">
        <v>394</v>
      </c>
      <c r="H15" s="31" t="s">
        <v>395</v>
      </c>
      <c r="I15" s="8" t="s">
        <v>396</v>
      </c>
    </row>
    <row r="16" customFormat="false" ht="48" hidden="false" customHeight="true" outlineLevel="0" collapsed="false">
      <c r="A16" s="22" t="s">
        <v>397</v>
      </c>
      <c r="B16" s="8" t="s">
        <v>398</v>
      </c>
      <c r="C16" s="8" t="s">
        <v>399</v>
      </c>
      <c r="D16" s="8" t="s">
        <v>392</v>
      </c>
      <c r="E16" s="8" t="s">
        <v>400</v>
      </c>
      <c r="F16" s="8" t="s">
        <v>135</v>
      </c>
      <c r="G16" s="10" t="s">
        <v>401</v>
      </c>
      <c r="H16" s="31" t="s">
        <v>395</v>
      </c>
      <c r="I16" s="8" t="s">
        <v>402</v>
      </c>
    </row>
  </sheetData>
  <mergeCells count="11">
    <mergeCell ref="A1:I1"/>
    <mergeCell ref="A2:I2"/>
    <mergeCell ref="A6:I6"/>
    <mergeCell ref="A9:I9"/>
    <mergeCell ref="B10:F10"/>
    <mergeCell ref="G10:I10"/>
    <mergeCell ref="B11:F11"/>
    <mergeCell ref="G11:I11"/>
    <mergeCell ref="B12:F12"/>
    <mergeCell ref="G12:I12"/>
    <mergeCell ref="A14:I14"/>
  </mergeCells>
  <dataValidations count="1">
    <dataValidation allowBlank="false" errorStyle="stop" operator="between" showDropDown="false" showErrorMessage="false" showInputMessage="false" sqref="H7 H15:H16" type="list">
      <formula1>"Open,Monitoring,Closed"</formula1>
      <formula2>0</formula2>
    </dataValidation>
  </dataValidations>
  <printOptions headings="false" gridLines="false" gridLinesSet="true" horizontalCentered="false" verticalCentered="false"/>
  <pageMargins left="0.4" right="0.4" top="0.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Cut-off 2026-03-31&amp;R&amp;8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26"/>
    <col collapsed="false" customWidth="true" hidden="false" outlineLevel="0" max="4" min="4" style="0" width="20"/>
    <col collapsed="false" customWidth="true" hidden="false" outlineLevel="0" max="5" min="5" style="0" width="18"/>
    <col collapsed="false" customWidth="true" hidden="false" outlineLevel="0" max="6" min="6" style="0" width="14"/>
    <col collapsed="false" customWidth="true" hidden="false" outlineLevel="0" max="7" min="7" style="0" width="30"/>
    <col collapsed="false" customWidth="true" hidden="false" outlineLevel="0" max="8" min="8" style="0" width="14"/>
    <col collapsed="false" customWidth="true" hidden="false" outlineLevel="0" max="9" min="9" style="0" width="26"/>
  </cols>
  <sheetData>
    <row r="1" customFormat="false" ht="27.75" hidden="false" customHeight="true" outlineLevel="0" collapsed="false">
      <c r="A1" s="1" t="s">
        <v>403</v>
      </c>
      <c r="B1" s="1"/>
      <c r="C1" s="1"/>
      <c r="D1" s="1"/>
      <c r="E1" s="1"/>
      <c r="F1" s="1"/>
      <c r="G1" s="1"/>
      <c r="H1" s="1"/>
      <c r="I1" s="1"/>
    </row>
    <row r="2" customFormat="false" ht="15.75" hidden="false" customHeight="true" outlineLevel="0" collapsed="false">
      <c r="A2" s="2" t="s">
        <v>1</v>
      </c>
      <c r="B2" s="2"/>
      <c r="C2" s="2"/>
      <c r="D2" s="2"/>
      <c r="E2" s="2"/>
      <c r="F2" s="2"/>
      <c r="G2" s="2"/>
      <c r="H2" s="2"/>
      <c r="I2" s="2"/>
    </row>
    <row r="3" customFormat="false" ht="6" hidden="false" customHeight="true" outlineLevel="0" collapsed="false"/>
    <row r="5" customFormat="false" ht="27.75" hidden="false" customHeight="true" outlineLevel="0" collapsed="false">
      <c r="A5" s="6" t="s">
        <v>404</v>
      </c>
      <c r="B5" s="6" t="s">
        <v>405</v>
      </c>
      <c r="C5" s="6" t="s">
        <v>406</v>
      </c>
      <c r="D5" s="6" t="s">
        <v>407</v>
      </c>
      <c r="E5" s="6" t="s">
        <v>408</v>
      </c>
      <c r="F5" s="6" t="s">
        <v>409</v>
      </c>
      <c r="G5" s="6" t="s">
        <v>410</v>
      </c>
      <c r="H5" s="6" t="s">
        <v>411</v>
      </c>
      <c r="I5" s="6" t="s">
        <v>412</v>
      </c>
    </row>
    <row r="6" customFormat="false" ht="45.75" hidden="false" customHeight="true" outlineLevel="0" collapsed="false">
      <c r="A6" s="7" t="s">
        <v>413</v>
      </c>
      <c r="B6" s="7" t="s">
        <v>17</v>
      </c>
      <c r="C6" s="8" t="s">
        <v>414</v>
      </c>
      <c r="D6" s="8" t="s">
        <v>415</v>
      </c>
      <c r="E6" s="8" t="s">
        <v>416</v>
      </c>
      <c r="F6" s="7" t="s">
        <v>181</v>
      </c>
      <c r="G6" s="8" t="s">
        <v>417</v>
      </c>
      <c r="H6" s="10" t="s">
        <v>418</v>
      </c>
      <c r="I6" s="8" t="s">
        <v>419</v>
      </c>
    </row>
    <row r="8" customFormat="false" ht="30" hidden="false" customHeight="true" outlineLevel="0" collapsed="false">
      <c r="A8" s="29" t="s">
        <v>420</v>
      </c>
      <c r="B8" s="29"/>
      <c r="C8" s="29"/>
      <c r="D8" s="29"/>
      <c r="E8" s="29"/>
      <c r="F8" s="29"/>
      <c r="G8" s="29"/>
      <c r="H8" s="29"/>
      <c r="I8" s="29"/>
    </row>
  </sheetData>
  <mergeCells count="3">
    <mergeCell ref="A1:I1"/>
    <mergeCell ref="A2:I2"/>
    <mergeCell ref="A8:I8"/>
  </mergeCells>
  <printOptions headings="false" gridLines="false" gridLinesSet="true" horizontalCentered="false" verticalCentered="false"/>
  <pageMargins left="0.4" right="0.4" top="0.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Cut-off 2026-03-31&amp;R&amp;8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2"/>
    <col collapsed="false" customWidth="true" hidden="false" outlineLevel="0" max="4" min="4" style="0" width="40"/>
    <col collapsed="false" customWidth="true" hidden="false" outlineLevel="0" max="5" min="5" style="0" width="34"/>
  </cols>
  <sheetData>
    <row r="1" customFormat="false" ht="27.75" hidden="false" customHeight="true" outlineLevel="0" collapsed="false">
      <c r="A1" s="1" t="s">
        <v>421</v>
      </c>
      <c r="B1" s="1"/>
      <c r="C1" s="1"/>
      <c r="D1" s="1"/>
      <c r="E1" s="1"/>
    </row>
    <row r="2" customFormat="false" ht="15.75" hidden="false" customHeight="true" outlineLevel="0" collapsed="false">
      <c r="A2" s="2" t="s">
        <v>1</v>
      </c>
      <c r="B2" s="2"/>
      <c r="C2" s="2"/>
      <c r="D2" s="2"/>
      <c r="E2" s="2"/>
    </row>
    <row r="3" customFormat="false" ht="6" hidden="false" customHeight="true" outlineLevel="0" collapsed="false"/>
    <row r="5" customFormat="false" ht="27.75" hidden="false" customHeight="true" outlineLevel="0" collapsed="false">
      <c r="A5" s="6" t="s">
        <v>56</v>
      </c>
      <c r="B5" s="6" t="s">
        <v>57</v>
      </c>
      <c r="C5" s="6" t="s">
        <v>59</v>
      </c>
      <c r="D5" s="6" t="s">
        <v>422</v>
      </c>
      <c r="E5" s="6" t="s">
        <v>423</v>
      </c>
    </row>
    <row r="6" customFormat="false" ht="15" hidden="false" customHeight="false" outlineLevel="0" collapsed="false">
      <c r="A6" s="7" t="s">
        <v>64</v>
      </c>
      <c r="B6" s="7" t="s">
        <v>65</v>
      </c>
      <c r="C6" s="7" t="s">
        <v>67</v>
      </c>
      <c r="D6" s="8" t="s">
        <v>424</v>
      </c>
      <c r="E6" s="8" t="s">
        <v>69</v>
      </c>
    </row>
    <row r="7" customFormat="false" ht="23.85" hidden="false" customHeight="false" outlineLevel="0" collapsed="false">
      <c r="A7" s="7" t="s">
        <v>71</v>
      </c>
      <c r="B7" s="7" t="s">
        <v>72</v>
      </c>
      <c r="C7" s="7" t="s">
        <v>67</v>
      </c>
      <c r="D7" s="8" t="s">
        <v>425</v>
      </c>
      <c r="E7" s="8" t="s">
        <v>73</v>
      </c>
    </row>
    <row r="8" customFormat="false" ht="15" hidden="false" customHeight="false" outlineLevel="0" collapsed="false">
      <c r="A8" s="7" t="s">
        <v>75</v>
      </c>
      <c r="B8" s="7" t="s">
        <v>76</v>
      </c>
      <c r="C8" s="7" t="s">
        <v>77</v>
      </c>
      <c r="D8" s="8" t="s">
        <v>426</v>
      </c>
      <c r="E8" s="8" t="s">
        <v>78</v>
      </c>
    </row>
    <row r="9" customFormat="false" ht="15" hidden="false" customHeight="false" outlineLevel="0" collapsed="false">
      <c r="A9" s="7" t="s">
        <v>80</v>
      </c>
      <c r="B9" s="7" t="s">
        <v>81</v>
      </c>
      <c r="C9" s="7" t="s">
        <v>67</v>
      </c>
      <c r="D9" s="8" t="s">
        <v>427</v>
      </c>
      <c r="E9" s="8" t="s">
        <v>82</v>
      </c>
    </row>
    <row r="10" customFormat="false" ht="15" hidden="false" customHeight="false" outlineLevel="0" collapsed="false">
      <c r="A10" s="7" t="s">
        <v>84</v>
      </c>
      <c r="B10" s="7" t="s">
        <v>85</v>
      </c>
      <c r="C10" s="7" t="s">
        <v>67</v>
      </c>
      <c r="D10" s="8" t="s">
        <v>428</v>
      </c>
      <c r="E10" s="8" t="s">
        <v>86</v>
      </c>
    </row>
    <row r="11" customFormat="false" ht="15" hidden="false" customHeight="false" outlineLevel="0" collapsed="false">
      <c r="A11" s="7" t="s">
        <v>88</v>
      </c>
      <c r="B11" s="7" t="s">
        <v>89</v>
      </c>
      <c r="C11" s="7" t="s">
        <v>67</v>
      </c>
      <c r="D11" s="8" t="s">
        <v>429</v>
      </c>
      <c r="E11" s="8" t="s">
        <v>90</v>
      </c>
    </row>
    <row r="12" customFormat="false" ht="15" hidden="false" customHeight="false" outlineLevel="0" collapsed="false">
      <c r="A12" s="7" t="s">
        <v>92</v>
      </c>
      <c r="B12" s="7" t="s">
        <v>93</v>
      </c>
      <c r="C12" s="7" t="s">
        <v>94</v>
      </c>
      <c r="D12" s="8" t="s">
        <v>430</v>
      </c>
      <c r="E12" s="8" t="s">
        <v>95</v>
      </c>
    </row>
    <row r="13" customFormat="false" ht="23.85" hidden="false" customHeight="false" outlineLevel="0" collapsed="false">
      <c r="A13" s="7" t="s">
        <v>97</v>
      </c>
      <c r="B13" s="7" t="s">
        <v>98</v>
      </c>
      <c r="C13" s="7" t="s">
        <v>94</v>
      </c>
      <c r="D13" s="8" t="s">
        <v>431</v>
      </c>
      <c r="E13" s="8" t="s">
        <v>99</v>
      </c>
    </row>
    <row r="14" customFormat="false" ht="15" hidden="false" customHeight="false" outlineLevel="0" collapsed="false">
      <c r="A14" s="7" t="s">
        <v>101</v>
      </c>
      <c r="B14" s="7" t="s">
        <v>102</v>
      </c>
      <c r="C14" s="7" t="s">
        <v>94</v>
      </c>
      <c r="D14" s="8" t="s">
        <v>432</v>
      </c>
      <c r="E14" s="8" t="s">
        <v>103</v>
      </c>
    </row>
    <row r="15" customFormat="false" ht="15" hidden="false" customHeight="false" outlineLevel="0" collapsed="false">
      <c r="A15" s="7" t="s">
        <v>105</v>
      </c>
      <c r="B15" s="7" t="s">
        <v>106</v>
      </c>
      <c r="C15" s="7" t="s">
        <v>94</v>
      </c>
      <c r="D15" s="8" t="s">
        <v>433</v>
      </c>
      <c r="E15" s="8" t="s">
        <v>107</v>
      </c>
    </row>
    <row r="16" customFormat="false" ht="15" hidden="false" customHeight="false" outlineLevel="0" collapsed="false">
      <c r="A16" s="7" t="s">
        <v>109</v>
      </c>
      <c r="B16" s="7" t="s">
        <v>110</v>
      </c>
      <c r="C16" s="7" t="s">
        <v>111</v>
      </c>
      <c r="D16" s="8" t="s">
        <v>434</v>
      </c>
      <c r="E16" s="8" t="s">
        <v>112</v>
      </c>
    </row>
    <row r="17" customFormat="false" ht="15" hidden="false" customHeight="false" outlineLevel="0" collapsed="false">
      <c r="A17" s="7" t="s">
        <v>114</v>
      </c>
      <c r="B17" s="7" t="s">
        <v>115</v>
      </c>
      <c r="C17" s="7" t="s">
        <v>94</v>
      </c>
      <c r="D17" s="8" t="s">
        <v>435</v>
      </c>
      <c r="E17" s="8" t="s">
        <v>118</v>
      </c>
    </row>
    <row r="18" customFormat="false" ht="23.85" hidden="false" customHeight="false" outlineLevel="0" collapsed="false">
      <c r="A18" s="7" t="s">
        <v>120</v>
      </c>
      <c r="B18" s="7" t="s">
        <v>121</v>
      </c>
      <c r="C18" s="7" t="s">
        <v>94</v>
      </c>
      <c r="D18" s="8" t="s">
        <v>436</v>
      </c>
      <c r="E18" s="8" t="s">
        <v>123</v>
      </c>
    </row>
    <row r="19" customFormat="false" ht="15" hidden="false" customHeight="false" outlineLevel="0" collapsed="false">
      <c r="A19" s="7" t="s">
        <v>125</v>
      </c>
      <c r="B19" s="7" t="s">
        <v>126</v>
      </c>
      <c r="C19" s="7" t="s">
        <v>94</v>
      </c>
      <c r="D19" s="8" t="s">
        <v>437</v>
      </c>
      <c r="E19" s="8" t="s">
        <v>127</v>
      </c>
    </row>
    <row r="20" customFormat="false" ht="23.85" hidden="false" customHeight="false" outlineLevel="0" collapsed="false">
      <c r="A20" s="7" t="s">
        <v>129</v>
      </c>
      <c r="B20" s="7" t="s">
        <v>130</v>
      </c>
      <c r="C20" s="7" t="s">
        <v>94</v>
      </c>
      <c r="D20" s="8" t="s">
        <v>438</v>
      </c>
      <c r="E20" s="8" t="s">
        <v>131</v>
      </c>
    </row>
    <row r="21" customFormat="false" ht="23.85" hidden="false" customHeight="false" outlineLevel="0" collapsed="false">
      <c r="A21" s="7" t="s">
        <v>133</v>
      </c>
      <c r="B21" s="7" t="s">
        <v>134</v>
      </c>
      <c r="C21" s="7" t="s">
        <v>94</v>
      </c>
      <c r="D21" s="8" t="s">
        <v>439</v>
      </c>
      <c r="E21" s="8" t="s">
        <v>136</v>
      </c>
    </row>
    <row r="22" customFormat="false" ht="23.85" hidden="false" customHeight="false" outlineLevel="0" collapsed="false">
      <c r="A22" s="7" t="s">
        <v>138</v>
      </c>
      <c r="B22" s="7" t="s">
        <v>139</v>
      </c>
      <c r="C22" s="7" t="s">
        <v>94</v>
      </c>
      <c r="D22" s="8" t="s">
        <v>440</v>
      </c>
      <c r="E22" s="8" t="s">
        <v>140</v>
      </c>
    </row>
    <row r="23" customFormat="false" ht="35.05" hidden="false" customHeight="false" outlineLevel="0" collapsed="false">
      <c r="A23" s="7" t="s">
        <v>142</v>
      </c>
      <c r="B23" s="7" t="s">
        <v>143</v>
      </c>
      <c r="C23" s="7" t="s">
        <v>144</v>
      </c>
      <c r="D23" s="8" t="s">
        <v>441</v>
      </c>
      <c r="E23" s="8" t="s">
        <v>146</v>
      </c>
    </row>
    <row r="24" customFormat="false" ht="46.25" hidden="false" customHeight="false" outlineLevel="0" collapsed="false">
      <c r="A24" s="7" t="s">
        <v>148</v>
      </c>
      <c r="B24" s="7" t="s">
        <v>149</v>
      </c>
      <c r="C24" s="7" t="s">
        <v>150</v>
      </c>
      <c r="D24" s="8" t="s">
        <v>442</v>
      </c>
      <c r="E24" s="8" t="s">
        <v>151</v>
      </c>
    </row>
    <row r="25" customFormat="false" ht="23.85" hidden="false" customHeight="false" outlineLevel="0" collapsed="false">
      <c r="A25" s="7" t="s">
        <v>153</v>
      </c>
      <c r="B25" s="7" t="s">
        <v>154</v>
      </c>
      <c r="C25" s="7" t="s">
        <v>155</v>
      </c>
      <c r="D25" s="8" t="s">
        <v>443</v>
      </c>
      <c r="E25" s="8" t="s">
        <v>157</v>
      </c>
    </row>
    <row r="26" customFormat="false" ht="23.85" hidden="false" customHeight="false" outlineLevel="0" collapsed="false">
      <c r="A26" s="7" t="s">
        <v>159</v>
      </c>
      <c r="B26" s="7" t="s">
        <v>160</v>
      </c>
      <c r="C26" s="7" t="s">
        <v>161</v>
      </c>
      <c r="D26" s="8" t="s">
        <v>443</v>
      </c>
      <c r="E26" s="8" t="s">
        <v>162</v>
      </c>
    </row>
    <row r="27" customFormat="false" ht="15" hidden="false" customHeight="false" outlineLevel="0" collapsed="false">
      <c r="A27" s="7" t="s">
        <v>164</v>
      </c>
      <c r="B27" s="7" t="s">
        <v>165</v>
      </c>
      <c r="C27" s="7" t="s">
        <v>166</v>
      </c>
      <c r="D27" s="8" t="s">
        <v>444</v>
      </c>
      <c r="E27" s="8" t="s">
        <v>168</v>
      </c>
    </row>
    <row r="28" customFormat="false" ht="23.85" hidden="false" customHeight="false" outlineLevel="0" collapsed="false">
      <c r="A28" s="7" t="s">
        <v>170</v>
      </c>
      <c r="B28" s="7" t="s">
        <v>171</v>
      </c>
      <c r="C28" s="7" t="s">
        <v>172</v>
      </c>
      <c r="D28" s="8" t="s">
        <v>445</v>
      </c>
      <c r="E28" s="8" t="s">
        <v>174</v>
      </c>
    </row>
  </sheetData>
  <autoFilter ref="A5:E28"/>
  <mergeCells count="2">
    <mergeCell ref="A1:E1"/>
    <mergeCell ref="A2:E2"/>
  </mergeCells>
  <printOptions headings="false" gridLines="false" gridLinesSet="true" horizontalCentered="false" verticalCentered="false"/>
  <pageMargins left="0.4" right="0.4" top="0.5" bottom="0.5"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Cut-off 2026-03-31&amp;R&amp;8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2026-08-22T15:26:50Z</dcterms:created>
  <dc:creator>openpyxl</dc:creator>
  <dc:description/>
  <dc:language>en-US</dc:language>
  <cp:lastModifiedBy/>
  <dcterms:modified xsi:type="dcterms:W3CDTF">2026-08-22T15:26:50Z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