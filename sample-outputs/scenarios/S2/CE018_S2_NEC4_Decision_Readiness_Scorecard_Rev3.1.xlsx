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7.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Dashboard" sheetId="1" state="visible" r:id="rId3"/>
    <sheet name="Evidence Register" sheetId="2" state="visible" r:id="rId4"/>
    <sheet name="Cross-Record Reconciliation" sheetId="3" state="visible" r:id="rId5"/>
    <sheet name="Four-Test Scorecard" sheetId="4" state="visible" r:id="rId6"/>
    <sheet name="NEC4 Control Cross-Reference" sheetId="5" state="visible" r:id="rId7"/>
    <sheet name="Clause 64.1 Triggers" sheetId="6" state="visible" r:id="rId8"/>
    <sheet name="Exceptions and Actions" sheetId="7" state="visible" r:id="rId9"/>
    <sheet name="Decision and Audit Log" sheetId="8" state="visible" r:id="rId10"/>
    <sheet name="Source Citations" sheetId="9" state="visible" r:id="rId11"/>
  </sheets>
  <definedNames>
    <definedName function="false" hidden="true" localSheetId="1" name="_xlnm._FilterDatabase" vbProcedure="false">'Evidence Register'!$A$4:$I$27</definedName>
    <definedName function="false" hidden="true" localSheetId="6" name="_xlnm._FilterDatabase" vbProcedure="false">'Exceptions and Actions'!$A$5:$K$11</definedName>
    <definedName function="false" hidden="true" localSheetId="4" name="_xlnm._FilterDatabase" vbProcedure="false">'NEC4 Control Cross-Reference'!$A$4:$J$16</definedName>
    <definedName function="false" hidden="true" localSheetId="8" name="_xlnm._FilterDatabase" vbProcedure="false">'Source Citations'!$A$4:$E$27</definedName>
  </definedNames>
  <calcPr calcId="191029" calcMode="auto" fullCalcOnLoad="1"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<sst xmlns="http://schemas.openxmlformats.org/spreadsheetml/2006/main" count="997" uniqueCount="694">
  <si>
    <t xml:space="preserve">CE-018 PROJECT CONTROLS ASSURANCE SCORECARD</t>
  </si>
  <si>
    <t xml:space="preserve">S2 - Current programme evidence missing  |  ISSUED FOR PROJECT MANAGER REVIEW (IFR) - NOT APPROVED  |  Report ID CE018-S2-DRR-REV3.1</t>
  </si>
  <si>
    <t xml:space="preserve">Rev 3.1 controlled correction of Rev 3.0 - assessment not rerun. Scores, route, control results, Clause 64.1 statuses, exposure and retained authority unchanged.</t>
  </si>
  <si>
    <t xml:space="preserve">PROJECT AND EVENT METADATA</t>
  </si>
  <si>
    <t xml:space="preserve">Project</t>
  </si>
  <si>
    <t xml:space="preserve">Westbridge Station Access and Enabling Works</t>
  </si>
  <si>
    <t xml:space="preserve">Project ID</t>
  </si>
  <si>
    <t xml:space="preserve">WSAE</t>
  </si>
  <si>
    <t xml:space="preserve">Client</t>
  </si>
  <si>
    <t xml:space="preserve">Westbridge Transit Authority</t>
  </si>
  <si>
    <t xml:space="preserve">Contractor</t>
  </si>
  <si>
    <t xml:space="preserve">Northstar Civil Engineering Ltd</t>
  </si>
  <si>
    <t xml:space="preserve">Interface organisation</t>
  </si>
  <si>
    <t xml:space="preserve">CityRail Operations</t>
  </si>
  <si>
    <t xml:space="preserve">Contract scenario</t>
  </si>
  <si>
    <t xml:space="preserve">NEC4 ECC demonstration - base process, no relevant Z-clause amendment configured</t>
  </si>
  <si>
    <t xml:space="preserve">Event</t>
  </si>
  <si>
    <t xml:space="preserve">CE-018 - Restricted access to the Platform 4 worksite</t>
  </si>
  <si>
    <t xml:space="preserve">Related early warning</t>
  </si>
  <si>
    <t xml:space="preserve">EW-006 - separate earlier warning concerning the same access issue</t>
  </si>
  <si>
    <t xml:space="preserve">Assessment data cut-off</t>
  </si>
  <si>
    <t xml:space="preserve">2026-03-31</t>
  </si>
  <si>
    <t xml:space="preserve">Evidence revision basis</t>
  </si>
  <si>
    <t xml:space="preserve">Source_Register.csv | SRC-001 | rev 3.0</t>
  </si>
  <si>
    <t xml:space="preserve">Decision owner</t>
  </si>
  <si>
    <t xml:space="preserve">Elena Brooks - NEC4 Project Manager</t>
  </si>
  <si>
    <t xml:space="preserve">Control owner</t>
  </si>
  <si>
    <t xml:space="preserve">Sofia Khan - Project Controls Lead</t>
  </si>
  <si>
    <t xml:space="preserve">Report status and revision</t>
  </si>
  <si>
    <t xml:space="preserve">ISSUED FOR PROJECT MANAGER REVIEW (IFR) - NOT APPROVED | Rev 3.1</t>
  </si>
  <si>
    <t xml:space="preserve">Classification</t>
  </si>
  <si>
    <t xml:space="preserve">Fictional Demonstration Data</t>
  </si>
  <si>
    <t xml:space="preserve">FOUR-TEST RESULT TILES (linked to the Four-Test Scorecard)</t>
  </si>
  <si>
    <t xml:space="preserve">T1 Evidence and version</t>
  </si>
  <si>
    <t xml:space="preserve">T2 Records agree</t>
  </si>
  <si>
    <t xml:space="preserve">T3 Configured NEC4 route and clock</t>
  </si>
  <si>
    <t xml:space="preserve">T4 Human authority</t>
  </si>
  <si>
    <t xml:space="preserve">CONTROL LOGIC AND ROUTE (formula-driven)</t>
  </si>
  <si>
    <t xml:space="preserve">Critical exceptions</t>
  </si>
  <si>
    <t xml:space="preserve">Total score (max 8)</t>
  </si>
  <si>
    <t xml:space="preserve">Critical-failure count</t>
  </si>
  <si>
    <t xml:space="preserve">Reserved-authority failure</t>
  </si>
  <si>
    <t xml:space="preserve">Material record conflict</t>
  </si>
  <si>
    <t xml:space="preserve">Mandatory evidence missing</t>
  </si>
  <si>
    <t xml:space="preserve">Critical route/clock failure</t>
  </si>
  <si>
    <t xml:space="preserve">Bounded limitations (score 1)</t>
  </si>
  <si>
    <t xml:space="preserve">Failing NEC4 controls</t>
  </si>
  <si>
    <t xml:space="preserve">RECOMMENDED DECISION ROUTE</t>
  </si>
  <si>
    <t xml:space="preserve">Route priority applied in order: reserved-authority failure, material record conflict, mandatory evidence missing, critical route/clock failure, any score of 1, otherwise ready. A score of 0 overrides the total score.</t>
  </si>
  <si>
    <t xml:space="preserve">POSITION, EXPOSURE AND NEXT ACTION</t>
  </si>
  <si>
    <t xml:space="preserve">Four-Test Result</t>
  </si>
  <si>
    <t xml:space="preserve">CONFIGURED FOUR-TEST RESULT: CRITICAL FAILURE - T1, T2 and T3 score 0. A score of 0 determines the route irrespective of the total score.</t>
  </si>
  <si>
    <t xml:space="preserve">Configured NEC4 Process-Assurance Result</t>
  </si>
  <si>
    <t xml:space="preserve">CONFIGURED NEC4 PROCESS CONTROL FAILURE - REWORK. Two critical content controls (NEC-05 Clause 62.2 and NEC-10 programme alteration) fail on absent evidence. Ten controls are satisfied, conditional, pending-not-due or correctly reserved for Project Manager judgement. This is a statement about the configured demonstration controls only and is not a statement of NEC4 or legal compliance.</t>
  </si>
  <si>
    <t xml:space="preserve">Clause 64.1 Trigger Summary</t>
  </si>
  <si>
    <t xml:space="preserve">Four trigger checks reported separately. One NOT_TRIGGERED (trigger 1). Three reserved for PROJECT MANAGER JUDGEMENT (triggers 2, 3 and 4), each because the current programme record required to complete the check is absent. No trigger is asserted to have contractual effect.</t>
  </si>
  <si>
    <t xml:space="preserve">Clause 62.2 content check</t>
  </si>
  <si>
    <t xml:space="preserve">EXPLICITLY CHECKED - NOT EVIDENCED IN THE ASSURANCE PACK. Assessment details are present. No current programme or separate programme-alteration record is available in the assurance pack. The assistant cannot determine whether the record was not submitted by the Contractor or was omitted when the assurance pack was assembled.</t>
  </si>
  <si>
    <t xml:space="preserve">Schedule effect evidenced by the records</t>
  </si>
  <si>
    <t xml:space="preserve">10 working days stated in the quotation, forecast, risk, change and event records. UNVERIFIED - no current programme record available to measure it.</t>
  </si>
  <si>
    <t xml:space="preserve">Commercial exposure evidenced by the records</t>
  </si>
  <si>
    <t xml:space="preserve">GBP 185,000, reconciling across quotation, forecast, risk, change and event records. Not assessed or accepted.</t>
  </si>
  <si>
    <t xml:space="preserve">Missing mandatory evidence</t>
  </si>
  <si>
    <t xml:space="preserve">P6_Activity_Export_UP13.csv | PROG-UP13 | rev UP13 | owner Planning Manager</t>
  </si>
  <si>
    <t xml:space="preserve">Next action</t>
  </si>
  <si>
    <t xml:space="preserve">Direct retrieval and registration of P6_Activity_Export_UP13.csv rev UP13, or the specific programme alteration relied on by Quotation Rev B, then reissue the pack for review.</t>
  </si>
  <si>
    <t xml:space="preserve">Next action due</t>
  </si>
  <si>
    <t xml:space="preserve">2026-04-02 - assurance rework target, not a contractual deadline. Configured RC-03 Project Manager response date: 2026-04-11.</t>
  </si>
  <si>
    <t xml:space="preserve">Critical exceptions raised</t>
  </si>
  <si>
    <t xml:space="preserve">2 (EX-01 missing mandatory record; EX-02 Clause 62.2 content not evidenced). Total exceptions 6.</t>
  </si>
  <si>
    <t xml:space="preserve">Elena Brooks - NEC4 Project Manager - retains every contractual decision on CE-018</t>
  </si>
  <si>
    <t xml:space="preserve">Fictional Demonstration Data. Configured demonstration controls only - not legal advice and not a statement of NEC4 or legal compliance. Prepared by the CE-018 Project Controls Assurance Assistant (non-contractual support) for Elena Brooks, NEC4 Project Manager.</t>
  </si>
  <si>
    <t xml:space="preserve">EVIDENCE REGISTER</t>
  </si>
  <si>
    <t xml:space="preserve">Registered against Source_Register.csv | SRC-001 | rev 3.0 | 11 Context records and 12 registered scenario records</t>
  </si>
  <si>
    <t xml:space="preserve">Status</t>
  </si>
  <si>
    <t xml:space="preserve">Record ID</t>
  </si>
  <si>
    <t xml:space="preserve">File name</t>
  </si>
  <si>
    <t xml:space="preserve">Record type</t>
  </si>
  <si>
    <t xml:space="preserve">Revision</t>
  </si>
  <si>
    <t xml:space="preserve">Version status</t>
  </si>
  <si>
    <t xml:space="preserve">Owner / custodian</t>
  </si>
  <si>
    <t xml:space="preserve">Intended use</t>
  </si>
  <si>
    <t xml:space="preserve">Citation reference</t>
  </si>
  <si>
    <t xml:space="preserve">PRESENT</t>
  </si>
  <si>
    <t xml:space="preserve">SRC-001</t>
  </si>
  <si>
    <t xml:space="preserve">Source_Register.csv</t>
  </si>
  <si>
    <t xml:space="preserve">Source register</t>
  </si>
  <si>
    <t xml:space="preserve">3.0</t>
  </si>
  <si>
    <t xml:space="preserve">Current</t>
  </si>
  <si>
    <t xml:space="preserve">Project Controls Lead</t>
  </si>
  <si>
    <t xml:space="preserve">Controls the approved Context and scenario evidence</t>
  </si>
  <si>
    <t xml:space="preserve">CTRL-001</t>
  </si>
  <si>
    <t xml:space="preserve">CE018_Control_Brief.txt</t>
  </si>
  <si>
    <t xml:space="preserve">Control brief</t>
  </si>
  <si>
    <t xml:space="preserve">Permitted task, assurance method and prohibited actions</t>
  </si>
  <si>
    <t xml:space="preserve">CE018_Control_Brief.txt | CTRL-001 | rev 3.0</t>
  </si>
  <si>
    <t xml:space="preserve">CTRL-002</t>
  </si>
  <si>
    <t xml:space="preserve">Actor_Authority_Matrix.csv</t>
  </si>
  <si>
    <t xml:space="preserve">Authority matrix</t>
  </si>
  <si>
    <t xml:space="preserve">2.1</t>
  </si>
  <si>
    <t xml:space="preserve">Named actors, responsibilities and retained authority</t>
  </si>
  <si>
    <t xml:space="preserve">Actor_Authority_Matrix.csv | CTRL-002 | rev 2.1</t>
  </si>
  <si>
    <t xml:space="preserve">CTRL-003</t>
  </si>
  <si>
    <t xml:space="preserve">Route_Clock_Rules.csv</t>
  </si>
  <si>
    <t xml:space="preserve">Route and clock rules</t>
  </si>
  <si>
    <t xml:space="preserve">NEC4 Project Manager</t>
  </si>
  <si>
    <t xml:space="preserve">Configured clause-linked periods and due dates</t>
  </si>
  <si>
    <t xml:space="preserve">Route_Clock_Rules.csv | CTRL-003 | rev 3.0</t>
  </si>
  <si>
    <t xml:space="preserve">CTRL-005</t>
  </si>
  <si>
    <t xml:space="preserve">Four_Test_Checklist.csv</t>
  </si>
  <si>
    <t xml:space="preserve">Assurance checklist</t>
  </si>
  <si>
    <t xml:space="preserve">Four assurance tests, scoring and dependencies</t>
  </si>
  <si>
    <t xml:space="preserve">Four_Test_Checklist.csv | CTRL-005 | rev 3.0</t>
  </si>
  <si>
    <t xml:space="preserve">CTRL-006</t>
  </si>
  <si>
    <t xml:space="preserve">Expected_Response_Structure.txt</t>
  </si>
  <si>
    <t xml:space="preserve">Response structure</t>
  </si>
  <si>
    <t xml:space="preserve">Required report, scorecard and JSON structure</t>
  </si>
  <si>
    <t xml:space="preserve">Expected_Response_Structure.txt | CTRL-006 | rev 3.0</t>
  </si>
  <si>
    <t xml:space="preserve">CTRL-007</t>
  </si>
  <si>
    <t xml:space="preserve">NEC4_Decision_Readiness_Control_Matrix.csv</t>
  </si>
  <si>
    <t xml:space="preserve">NEC4 control matrix</t>
  </si>
  <si>
    <t xml:space="preserve">1.0</t>
  </si>
  <si>
    <t xml:space="preserve">Configured procedural controls and Clause 64.1 triggers</t>
  </si>
  <si>
    <t xml:space="preserve">NEC4_Decision_Readiness_Control_Matrix.csv | CTRL-007 | rev 1.0</t>
  </si>
  <si>
    <t xml:space="preserve">WBS-001</t>
  </si>
  <si>
    <t xml:space="preserve">WBS_Hierarchy.csv</t>
  </si>
  <si>
    <t xml:space="preserve">WBS</t>
  </si>
  <si>
    <t xml:space="preserve">Planning Manager</t>
  </si>
  <si>
    <t xml:space="preserve">Project and work-package hierarchy</t>
  </si>
  <si>
    <t xml:space="preserve">WBS_Hierarchy.csv | WBS-001 | rev 1.0</t>
  </si>
  <si>
    <t xml:space="preserve">CBS-001</t>
  </si>
  <si>
    <t xml:space="preserve">CBS_Hierarchy.csv</t>
  </si>
  <si>
    <t xml:space="preserve">CBS</t>
  </si>
  <si>
    <t xml:space="preserve">Cost Manager</t>
  </si>
  <si>
    <t xml:space="preserve">Cost hierarchy</t>
  </si>
  <si>
    <t xml:space="preserve">CBS_Hierarchy.csv | CBS-001 | rev 1.0</t>
  </si>
  <si>
    <t xml:space="preserve">XWALK-001</t>
  </si>
  <si>
    <t xml:space="preserve">CE018_WBS_Programme_CBS_Crosswalk.csv</t>
  </si>
  <si>
    <t xml:space="preserve">Crosswalk</t>
  </si>
  <si>
    <t xml:space="preserve">Links CE-018 to WBS, activities and CBS</t>
  </si>
  <si>
    <t xml:space="preserve">CE018_WBS_Programme_CBS_Crosswalk.csv | XWALK-001 | rev 1.0</t>
  </si>
  <si>
    <t xml:space="preserve">CASE-001</t>
  </si>
  <si>
    <t xml:space="preserve">CE018_Event_Record.csv</t>
  </si>
  <si>
    <t xml:space="preserve">Event record</t>
  </si>
  <si>
    <t xml:space="preserve">1.1</t>
  </si>
  <si>
    <t xml:space="preserve">Controlled CE-018 facts, status and cut-off</t>
  </si>
  <si>
    <t xml:space="preserve">CE018_Event_Record.csv | CASE-001 | rev 1.1</t>
  </si>
  <si>
    <t xml:space="preserve">CORR-001</t>
  </si>
  <si>
    <t xml:space="preserve">Email_01_Access_Risk_2026-02-24.eml</t>
  </si>
  <si>
    <t xml:space="preserve">Correspondence</t>
  </si>
  <si>
    <t xml:space="preserve">Theo Grant</t>
  </si>
  <si>
    <t xml:space="preserve">Emerging operational access constraint dated 2026-02-24</t>
  </si>
  <si>
    <t xml:space="preserve">Email_01_Access_Risk_2026-02-24.eml | CORR-001 | rev 1.0</t>
  </si>
  <si>
    <t xml:space="preserve">EW-006</t>
  </si>
  <si>
    <t xml:space="preserve">Email_02_EW006_2026-02-25.eml</t>
  </si>
  <si>
    <t xml:space="preserve">Early warning email</t>
  </si>
  <si>
    <t xml:space="preserve">Marcus Reed</t>
  </si>
  <si>
    <t xml:space="preserve">Separate early-warning record dated 2026-02-25</t>
  </si>
  <si>
    <t xml:space="preserve">Email_02_EW006_2026-02-25.eml | EW-006 | rev 1.0</t>
  </si>
  <si>
    <t xml:space="preserve">ACC-004</t>
  </si>
  <si>
    <t xml:space="preserve">Email_03_Access_Restriction_2026-03-04.eml</t>
  </si>
  <si>
    <t xml:space="preserve">Access confirmation</t>
  </si>
  <si>
    <t xml:space="preserve">Planned versus actual access on 2026-03-04</t>
  </si>
  <si>
    <t xml:space="preserve">Email_03_Access_Restriction_2026-03-04.eml | ACC-004 | rev 1.0</t>
  </si>
  <si>
    <t xml:space="preserve">CE-018</t>
  </si>
  <si>
    <t xml:space="preserve">Email_04_CE018_Notification_2026-03-05.eml</t>
  </si>
  <si>
    <t xml:space="preserve">CE notification email</t>
  </si>
  <si>
    <t xml:space="preserve">Contractor notification dated 2026-03-05</t>
  </si>
  <si>
    <t xml:space="preserve">Email_04_CE018_Notification_2026-03-05.eml | CE-018 | rev 1.0</t>
  </si>
  <si>
    <t xml:space="preserve">PMR-018</t>
  </si>
  <si>
    <t xml:space="preserve">Email_05_PM_Response_2026-03-12.eml</t>
  </si>
  <si>
    <t xml:space="preserve">Project Manager response</t>
  </si>
  <si>
    <t xml:space="preserve">Elena Brooks</t>
  </si>
  <si>
    <t xml:space="preserve">PM response and quotation request dated 2026-03-12</t>
  </si>
  <si>
    <t xml:space="preserve">Email_05_PM_Response_2026-03-12.eml | PMR-018 | rev 1.0</t>
  </si>
  <si>
    <t xml:space="preserve">QSUB-018</t>
  </si>
  <si>
    <t xml:space="preserve">Email_06_Quotation_Submission_2026-03-28.eml</t>
  </si>
  <si>
    <t xml:space="preserve">Quotation submission email</t>
  </si>
  <si>
    <t xml:space="preserve">Submission route and accompanying-record references</t>
  </si>
  <si>
    <t xml:space="preserve">Email_06_Quotation_Submission_2026-03-28.eml | QSUB-018 | rev 1.0</t>
  </si>
  <si>
    <t xml:space="preserve">PROG-AP12</t>
  </si>
  <si>
    <t xml:space="preserve">P6_Activity_Export_AP12.csv</t>
  </si>
  <si>
    <t xml:space="preserve">Accepted Programme export</t>
  </si>
  <si>
    <t xml:space="preserve">AP12</t>
  </si>
  <si>
    <t xml:space="preserve">Accepted</t>
  </si>
  <si>
    <t xml:space="preserve">Planned position at data date 2026-02-20 - planned use only</t>
  </si>
  <si>
    <t xml:space="preserve">P6_Activity_Export_AP12.csv | PROG-AP12 | rev AP12</t>
  </si>
  <si>
    <t xml:space="preserve">MISSING - MANDATORY</t>
  </si>
  <si>
    <t xml:space="preserve">PROG-UP13</t>
  </si>
  <si>
    <t xml:space="preserve">P6_Activity_Export_UP13.csv</t>
  </si>
  <si>
    <t xml:space="preserve">Current programme update</t>
  </si>
  <si>
    <t xml:space="preserve">UP13</t>
  </si>
  <si>
    <t xml:space="preserve">Current controlled update</t>
  </si>
  <si>
    <t xml:space="preserve">Actual access, current forecast and programme alterations</t>
  </si>
  <si>
    <t xml:space="preserve">P6_Activity_Export_UP13.csv | PROG-UP13 | rev UP13</t>
  </si>
  <si>
    <t xml:space="preserve">QUOT-CE018-REVB</t>
  </si>
  <si>
    <t xml:space="preserve">CE018_Quotation_RevB.csv</t>
  </si>
  <si>
    <t xml:space="preserve">Quotation</t>
  </si>
  <si>
    <t xml:space="preserve">B</t>
  </si>
  <si>
    <t xml:space="preserve">Commercial Manager</t>
  </si>
  <si>
    <t xml:space="preserve">Assessment details by WBS, activity and CBS, submitted 2026-03-28</t>
  </si>
  <si>
    <t xml:space="preserve">CE018_Quotation_RevB.csv | QUOT-CE018-REVB | rev B</t>
  </si>
  <si>
    <t xml:space="preserve">FCST-P07</t>
  </si>
  <si>
    <t xml:space="preserve">Cost_Forecast_P07.csv</t>
  </si>
  <si>
    <t xml:space="preserve">Cost forecast</t>
  </si>
  <si>
    <t xml:space="preserve">P07</t>
  </si>
  <si>
    <t xml:space="preserve">Base forecast at data date 2026-03-31</t>
  </si>
  <si>
    <t xml:space="preserve">Cost_Forecast_P07.csv | FCST-P07 | rev P07</t>
  </si>
  <si>
    <t xml:space="preserve">RISK-044</t>
  </si>
  <si>
    <t xml:space="preserve">Risk_Register.csv</t>
  </si>
  <si>
    <t xml:space="preserve">Risk register</t>
  </si>
  <si>
    <t xml:space="preserve">7</t>
  </si>
  <si>
    <t xml:space="preserve">Risk Manager</t>
  </si>
  <si>
    <t xml:space="preserve">Base risk record for CE-018</t>
  </si>
  <si>
    <t xml:space="preserve">Risk_Register.csv | RISK-044 | rev 7</t>
  </si>
  <si>
    <t xml:space="preserve">CHG-018</t>
  </si>
  <si>
    <t xml:space="preserve">Change_Register.csv</t>
  </si>
  <si>
    <t xml:space="preserve">Change register</t>
  </si>
  <si>
    <t xml:space="preserve">5</t>
  </si>
  <si>
    <t xml:space="preserve">Change Manager</t>
  </si>
  <si>
    <t xml:space="preserve">Status, decision owner, next action and expected effect</t>
  </si>
  <si>
    <t xml:space="preserve">Change_Register.csv | CHG-018 | rev 5</t>
  </si>
  <si>
    <t xml:space="preserve">Deliberate S2 omission:</t>
  </si>
  <si>
    <t xml:space="preserve">Source_Register.csv | SRC-001 | rev 3.0 | row PROG-UP13 - required record, deliberately omitted in S2 | Effect: Current-position, programme-alteration and Clause 62.2 linkage checks cannot be completed. AP12 has not been substituted.</t>
  </si>
  <si>
    <t xml:space="preserve">Packaging defects:</t>
  </si>
  <si>
    <t xml:space="preserve">None identified. No duplicate, mis-revisioned, unregistered or mixed-scenario evidence file is attached. S3 conflict records (FCST-P07-X, RISK-044-X) are absent as required.</t>
  </si>
  <si>
    <t xml:space="preserve">Excluded assets:</t>
  </si>
  <si>
    <t xml:space="preserve">Five branding PNG assets and the branding/output-controls note are formatting assets only. Not inventoried, cited, scored or added to the Source Register.</t>
  </si>
  <si>
    <t xml:space="preserve">CROSS-RECORD RECONCILIATION</t>
  </si>
  <si>
    <t xml:space="preserve">AP12 planned position against the current position | UP13 absent - no value inferred | Values not averaged</t>
  </si>
  <si>
    <t xml:space="preserve">WBS ID</t>
  </si>
  <si>
    <t xml:space="preserve">WBS name</t>
  </si>
  <si>
    <t xml:space="preserve">Activity ID</t>
  </si>
  <si>
    <t xml:space="preserve">Activity name</t>
  </si>
  <si>
    <t xml:space="preserve">CBS code</t>
  </si>
  <si>
    <t xml:space="preserve">Cost element</t>
  </si>
  <si>
    <t xml:space="preserve">AP12 planned position (PROG-AP12 rev AP12)</t>
  </si>
  <si>
    <t xml:space="preserve">UP13 current position (PROG-UP13 rev UP13)</t>
  </si>
  <si>
    <t xml:space="preserve">Crosswalk GBP</t>
  </si>
  <si>
    <t xml:space="preserve">Quotation GBP</t>
  </si>
  <si>
    <t xml:space="preserve">Forecast GBP</t>
  </si>
  <si>
    <t xml:space="preserve">Variance GBP</t>
  </si>
  <si>
    <t xml:space="preserve">Schedule claim (wd)</t>
  </si>
  <si>
    <t xml:space="preserve">Reconciliation status</t>
  </si>
  <si>
    <t xml:space="preserve">WSAE.20.10</t>
  </si>
  <si>
    <t xml:space="preserve">Platform 4 Access</t>
  </si>
  <si>
    <t xml:space="preserve">WSAE-A1200</t>
  </si>
  <si>
    <t xml:space="preserve">Establish Platform 4 worksite access</t>
  </si>
  <si>
    <t xml:space="preserve">WSAE-C210</t>
  </si>
  <si>
    <t xml:space="preserve">Access / Possession Standby</t>
  </si>
  <si>
    <t xml:space="preserve">Start Milestone planned 2026-03-04; total float 0; variance to accepted finish 0</t>
  </si>
  <si>
    <t xml:space="preserve">MISSING EVIDENCE - not inferred</t>
  </si>
  <si>
    <t xml:space="preserve">Cost reconciled; time position unverifiable</t>
  </si>
  <si>
    <t xml:space="preserve">WSAE.30.10</t>
  </si>
  <si>
    <t xml:space="preserve">Worksite Establishment</t>
  </si>
  <si>
    <t xml:space="preserve">WSAE-A1300</t>
  </si>
  <si>
    <t xml:space="preserve">Platform 4 enabling works</t>
  </si>
  <si>
    <t xml:space="preserve">WSAE-C310</t>
  </si>
  <si>
    <t xml:space="preserve">Direct Labour</t>
  </si>
  <si>
    <t xml:space="preserve">Planned 2026-03-05 to 2026-03-18; original duration 10 d; total float 2</t>
  </si>
  <si>
    <t xml:space="preserve">WSAE-C320</t>
  </si>
  <si>
    <t xml:space="preserve">Plant and Equipment</t>
  </si>
  <si>
    <t xml:space="preserve">WSAE.30.20</t>
  </si>
  <si>
    <t xml:space="preserve">Temporary Services</t>
  </si>
  <si>
    <t xml:space="preserve">WSAE-A1400</t>
  </si>
  <si>
    <t xml:space="preserve">Install temporary services</t>
  </si>
  <si>
    <t xml:space="preserve">WSAE-C510</t>
  </si>
  <si>
    <t xml:space="preserve">Time-Related Overheads</t>
  </si>
  <si>
    <t xml:space="preserve">Planned 2026-03-19 to 2026-03-27; original duration 7 d; total float 0</t>
  </si>
  <si>
    <t xml:space="preserve">Cost reconciled; extended-preliminaries basis cannot be tested against a revised finish</t>
  </si>
  <si>
    <t xml:space="preserve">WSAE.10</t>
  </si>
  <si>
    <t xml:space="preserve">Project Management and Controls</t>
  </si>
  <si>
    <t xml:space="preserve">WSAE-M9000</t>
  </si>
  <si>
    <t xml:space="preserve">Platform 4 worksite ready</t>
  </si>
  <si>
    <t xml:space="preserve">WSAE-C610</t>
  </si>
  <si>
    <t xml:space="preserve">CE-018 Risk Allowance</t>
  </si>
  <si>
    <t xml:space="preserve">Finish Milestone planned 2026-03-27; total float 0; variance to accepted finish 0</t>
  </si>
  <si>
    <t xml:space="preserve">Cost reconciled; milestone slip cannot be measured</t>
  </si>
  <si>
    <t xml:space="preserve">TOTAL</t>
  </si>
  <si>
    <t xml:space="preserve">Quotation, forecast, crosswalk, risk and change all state GBP 185,000 and 10 working days. No conflict. Time position unverifiable.</t>
  </si>
  <si>
    <t xml:space="preserve">Whole-record comparison</t>
  </si>
  <si>
    <t xml:space="preserve">Record</t>
  </si>
  <si>
    <t xml:space="preserve">Time position</t>
  </si>
  <si>
    <t xml:space="preserve">Cost position</t>
  </si>
  <si>
    <t xml:space="preserve">Accepted Programme</t>
  </si>
  <si>
    <t xml:space="preserve">Planned only; variance to accepted finish 0 at data date 2026-02-20</t>
  </si>
  <si>
    <t xml:space="preserve">Not a cost record</t>
  </si>
  <si>
    <t xml:space="preserve">Quotation Rev B</t>
  </si>
  <si>
    <t xml:space="preserve">10 working days claimed</t>
  </si>
  <si>
    <t xml:space="preserve">GBP 185,000</t>
  </si>
  <si>
    <t xml:space="preserve">Cost forecast P07</t>
  </si>
  <si>
    <t xml:space="preserve">10 working days</t>
  </si>
  <si>
    <t xml:space="preserve">Current-position checks that cannot be completed</t>
  </si>
  <si>
    <t xml:space="preserve">1.</t>
  </si>
  <si>
    <t xml:space="preserve">Actual start and finish of WSAE-A1200, WSAE-A1300, WSAE-A1400 and WSAE-M9000.</t>
  </si>
  <si>
    <t xml:space="preserve">2.</t>
  </si>
  <si>
    <t xml:space="preserve">Current Late Finish dates and total float against the AP12 position.</t>
  </si>
  <si>
    <t xml:space="preserve">3.</t>
  </si>
  <si>
    <t xml:space="preserve">Measured variance to the accepted finish supporting the claimed 10 working-day effect (AP12 records variance 0 for every CE-018 activity at its 2026-02-20 data date).</t>
  </si>
  <si>
    <t xml:space="preserve">4.</t>
  </si>
  <si>
    <t xml:space="preserve">Whether remaining work is altered and, if so, the required alterations to the Accepted Programme submitted with the quotation.</t>
  </si>
  <si>
    <t xml:space="preserve">5.</t>
  </si>
  <si>
    <t xml:space="preserve">Whether the full access date of 2026-03-18 in CASE-001 is reflected in a current programme record.</t>
  </si>
  <si>
    <t xml:space="preserve">6.</t>
  </si>
  <si>
    <t xml:space="preserve">The revised finish underpinning the WSAE-C510 extended time-related overhead of GBP 50,000.</t>
  </si>
  <si>
    <t xml:space="preserve">7.</t>
  </si>
  <si>
    <t xml:space="preserve">Alignment between the current programme data date and the P07 forecast data date of 2026-03-31.</t>
  </si>
  <si>
    <t xml:space="preserve">Structural integrity</t>
  </si>
  <si>
    <t xml:space="preserve">• Every WBS identifier in the crosswalk exists in WBS_Hierarchy.csv | WBS-001 | rev 1.0 (WSAE.10, WSAE.20.10, WSAE.30.10, WSAE.30.20).</t>
  </si>
  <si>
    <t xml:space="preserve">• Every CBS account in the crosswalk exists in CBS_Hierarchy.csv | CBS-001 | rev 1.0 (WSAE-C210, WSAE-C310, WSAE-C320, WSAE-C510, WSAE-C610).</t>
  </si>
  <si>
    <t xml:space="preserve">• Every programme activity in the crosswalk exists in AP12 (WSAE-A1200, WSAE-A1300, WSAE-A1400, WSAE-M9000). Existence in UP13 could not be checked.</t>
  </si>
  <si>
    <t xml:space="preserve">• WSAE-M9000 maps to WBS WSAE.10 in both P6_Activity_Export_AP12.csv | PROG-AP12 | rev AP12 | row WSAE-M9000 and CE018_WBS_Programme_CBS_Crosswalk.csv | XWALK-001 | rev 1.0 | row 5.</t>
  </si>
  <si>
    <t xml:space="preserve">• Every quoted and forecast value links to a valid CBS account. No relationship has been created or repaired.</t>
  </si>
  <si>
    <t xml:space="preserve">FOUR-TEST SCORECARD</t>
  </si>
  <si>
    <t xml:space="preserve">CE-018 | Scenario S2 - current programme evidence missing | Scores applied from the S2 evidence only</t>
  </si>
  <si>
    <t xml:space="preserve">Test</t>
  </si>
  <si>
    <t xml:space="preserve">Test name</t>
  </si>
  <si>
    <t xml:space="preserve">Purpose - what is tested and why it matters</t>
  </si>
  <si>
    <t xml:space="preserve">Score</t>
  </si>
  <si>
    <t xml:space="preserve">Finding</t>
  </si>
  <si>
    <t xml:space="preserve">Evidence citation</t>
  </si>
  <si>
    <t xml:space="preserve">Critical failure</t>
  </si>
  <si>
    <t xml:space="preserve">Consequence</t>
  </si>
  <si>
    <t xml:space="preserve">Retest requirement</t>
  </si>
  <si>
    <t xml:space="preserve">T1</t>
  </si>
  <si>
    <t xml:space="preserve">Evidence and version</t>
  </si>
  <si>
    <t xml:space="preserve">Confirm that every required record is present, approved, current and used for its stated purpose</t>
  </si>
  <si>
    <t xml:space="preserve">CRITICAL FAILURE</t>
  </si>
  <si>
    <t xml:space="preserve">Eleven of twelve registered scenario evidence records are present at their approved revision. PROG-UP13 is the one mandatory record absent. All eleven permanent Context records are also present at their approved revision and correctly classified. The absent record is P6_Activity_Export_UP13.csv, revision UP13. Source_Register.csv rev 3.0 records PROG-UP13 as Required = Yes. Its absence is the deliberate S2 test condition, not an accidental packaging defect, but the score is applied from the evidence available. AP12 has not been substituted.</t>
  </si>
  <si>
    <t xml:space="preserve">Source_Register.csv | SRC-001 | rev 3.0 | row PROG-UP13; Four_Test_Checklist.csv | CTRL-005 | rev 3.0 | row T1</t>
  </si>
  <si>
    <t xml:space="preserve">A mandatory record is missing. Route: REWORK EVIDENCE PACK. The pack cannot support an unqualified decision on the current programme position.</t>
  </si>
  <si>
    <t xml:space="preserve">Retest T1 in full once P6_Activity_Export_UP13.csv rev UP13 is registered and supplied.</t>
  </si>
  <si>
    <t xml:space="preserve">T2</t>
  </si>
  <si>
    <t xml:space="preserve">Records agree</t>
  </si>
  <si>
    <t xml:space="preserve">Test whether programme, quotation, forecast, risk and change records describe the same time, cost and event impact</t>
  </si>
  <si>
    <t xml:space="preserve">No conflict exists between the records present: quotation, forecast, risk, change and event records all state GBP 185,000 and 10 working days, and the quotation reconciles line by line to the controlled crosswalk. The test nevertheless fails because the required programme alteration is missing: the claimed 10 working-day effect and the extended time-related overhead cannot be tested against any current programme, and AP12 records variance to accepted finish of 0 for every CE-018 activity at its 2026-02-20 data date. Four_Test_Checklist rev 3.0 scores a missing programme alteration that prevents reliable review as a critical failure.</t>
  </si>
  <si>
    <t xml:space="preserve">CE018_Quotation_RevB.csv | QUOT-CE018-REVB | rev B; Cost_Forecast_P07.csv | FCST-P07 | rev P07; Risk_Register.csv | RISK-044 | rev 7; Change_Register.csv | CHG-018 | rev 5; P6_Activity_Export_AP12.csv | PROG-AP12 | rev AP12; Four_Test_Checklist.csv | CTRL-005 | rev 3.0 | row T2</t>
  </si>
  <si>
    <t xml:space="preserve">The time position underpinning the quotation cannot be reconciled. This is an evidence gap, not a record conflict, so the reconciliation route does not apply.</t>
  </si>
  <si>
    <t xml:space="preserve">Rerun the full cross-record reconciliation, including all seven incomplete current-position checks, once UP13 is supplied.</t>
  </si>
  <si>
    <t xml:space="preserve">T3</t>
  </si>
  <si>
    <t xml:space="preserve">Configured NEC4 route and clock</t>
  </si>
  <si>
    <t xml:space="preserve">Check the configured event route, notice sequence, required content and response periods</t>
  </si>
  <si>
    <t xml:space="preserve">Every configured response period is satisfied or correctly pending-not-due: RC-EW recorded 2026-02-25 against a 2026-02-25 due date; RC-01 PM response 2026-03-12 on the configured date; RC-02 quotation submitted 2026-03-28 against a 2026-04-02 due date; RC-03 pending and not due at the 2026-03-31 cut-off. The failure is confined to the RC-02 content limb: the required action includes the required alterations to the Accepted Programme, and the listed evidence record PROG-UP13 is absent. Clause 64.1 trigger check 3 therefore cannot be closed, which Four_Test_Checklist rev 3.0 scores as a critical failure.</t>
  </si>
  <si>
    <t xml:space="preserve">Route_Clock_Rules.csv | CTRL-003 | rev 3.0 | rows RC-EW, RC-00, RC-01, RC-02, RC-03; Four_Test_Checklist.csv | CTRL-005 | rev 3.0 | row T3</t>
  </si>
  <si>
    <t xml:space="preserve">No clock is overdue. An unresolved Clause 64.1 trigger check and an unevidenced Clause 62.2 content requirement remain. Contractual effect is reserved to the Project Manager.</t>
  </si>
  <si>
    <t xml:space="preserve">Rerun RC-02 content verification and NEC-05, NEC-09, NEC-10 and NEC-11 once UP13 is supplied. Re-run RC-03 after 2026-04-11.</t>
  </si>
  <si>
    <t xml:space="preserve">T4</t>
  </si>
  <si>
    <t xml:space="preserve">Human authority</t>
  </si>
  <si>
    <t xml:space="preserve">Confirm that notification, assessment, acceptance, instruction and implementation remain with authorised roles</t>
  </si>
  <si>
    <t xml:space="preserve">PASS</t>
  </si>
  <si>
    <t xml:space="preserve">No reserved contractual action has been requested or taken. The assistant has extracted, linked, compared, cited and flagged only. The Contractor's CE-018 notification is recorded as evidence. The assistant did not issue a notification, determine whether CE-018 is a compensation event, or take any other reserved contractual action - no entitlement was determined, no quotation assessed or accepted, no contractual communication issued or drafted in another person's name, and CE-018 was not implemented. The retained decision and the pending RC-03 response remain with Elena Brooks, and the change record records the decision status as not yet decided.</t>
  </si>
  <si>
    <t xml:space="preserve">Actor_Authority_Matrix.csv | CTRL-002 | rev 2.1 | rows EB, SK, AI; CE018_Control_Brief.txt | CTRL-001 | rev 3.0 | Retained Authority; Change_Register.csv | CHG-018 | rev 5 | field decision_status</t>
  </si>
  <si>
    <t xml:space="preserve">Authority control is evidenced. No authority-based route override arises.</t>
  </si>
  <si>
    <t xml:space="preserve">Retest if any output or request would take a reserved contractual action.</t>
  </si>
  <si>
    <t xml:space="preserve">Total score</t>
  </si>
  <si>
    <t xml:space="preserve">Maximum 8. A score of 0 determines the route irrespective of the total score.</t>
  </si>
  <si>
    <t xml:space="preserve">Critical failures</t>
  </si>
  <si>
    <t xml:space="preserve">Count of tests scoring 0. Each is reported in full; the most restrictive route applies.</t>
  </si>
  <si>
    <t xml:space="preserve">Scoring key: 2 = Pass (control evidenced) | 1 = Bounded limitation (owner and deadline identified, review not prevented) | 0 = Critical failure (evidence missing, records materially conflict, configured route or date failed, or authority exceeded).</t>
  </si>
  <si>
    <t xml:space="preserve">NEC4 DECISION-READINESS CONTROL CROSS-REFERENCE</t>
  </si>
  <si>
    <t xml:space="preserve">All 12 controls in NEC4_Decision_Readiness_Control_Matrix.csv | CTRL-007 | rev 1.0 executed</t>
  </si>
  <si>
    <t xml:space="preserve">Control</t>
  </si>
  <si>
    <t xml:space="preserve">Control group</t>
  </si>
  <si>
    <t xml:space="preserve">NEC4 ECC reference</t>
  </si>
  <si>
    <t xml:space="preserve">Four-test link</t>
  </si>
  <si>
    <t xml:space="preserve">Decision-readiness question</t>
  </si>
  <si>
    <t xml:space="preserve">Evidence</t>
  </si>
  <si>
    <t xml:space="preserve">Result</t>
  </si>
  <si>
    <t xml:space="preserve">Accountable owner</t>
  </si>
  <si>
    <t xml:space="preserve">NEC-01</t>
  </si>
  <si>
    <t xml:space="preserve">Early warning</t>
  </si>
  <si>
    <t xml:space="preserve">15.1</t>
  </si>
  <si>
    <t xml:space="preserve">T1/T3</t>
  </si>
  <si>
    <t xml:space="preserve">Is there dated evidence that the access risk was warned when it became apparent?</t>
  </si>
  <si>
    <t xml:space="preserve">Email_01_Access_Risk_2026-02-24.eml | CORR-001 | rev 1.0; Email_02_EW006_2026-02-25.eml | EW-006 | rev 1.0; Route_Clock_Rules.csv | CTRL-003 | rev 3.0 | row RC-EW</t>
  </si>
  <si>
    <t xml:space="preserve">CONDITIONAL</t>
  </si>
  <si>
    <t xml:space="preserve">Both dated records are present and the early warning was recorded on 2026-02-25, one day after the initial risk email of 2026-02-24, against the configured RC-EW due date of 2026-02-25. The third required evidence item, an Early Warning Register reference, is not a registered record in Source_Register.csv rev 3.0 and could not be checked.</t>
  </si>
  <si>
    <t xml:space="preserve">Bounded administrative limitation. Does not prevent review. Whether the notice was sufficiently prompt is a contractual judgement reserved to the Project Manager.</t>
  </si>
  <si>
    <t xml:space="preserve">NEC-02</t>
  </si>
  <si>
    <t xml:space="preserve">Access and event basis</t>
  </si>
  <si>
    <t xml:space="preserve">33.1 / 60.1(2)</t>
  </si>
  <si>
    <t xml:space="preserve">Do the Accepted Programme and access record evidence the planned access date and the actual restriction?</t>
  </si>
  <si>
    <t xml:space="preserve">P6_Activity_Export_AP12.csv | PROG-AP12 | rev AP12 | row WSAE-A1200; Email_03_Access_Restriction_2026-03-04.eml | ACC-004 | rev 1.0; Email_04_CE018_Notification_2026-03-05.eml | CE-018 | rev 1.0</t>
  </si>
  <si>
    <t xml:space="preserve">EVIDENCED_PM_DETERMINATION</t>
  </si>
  <si>
    <t xml:space="preserve">AP12 shows milestone WSAE-A1200 planned for 2026-03-04 on WBS WSAE.20.10. ACC-004 confirms that the planned eight-hour access was not available on that date and that a two-hour escorted window from 03:00 to 05:00 was provided. The event description is consistent across the access record, the notification and the controlled event record.</t>
  </si>
  <si>
    <t xml:space="preserve">Candidate event basis is evidenced and referred to the Project Manager. The assistant does not decide whether a compensation event exists.</t>
  </si>
  <si>
    <t xml:space="preserve">NEC-03</t>
  </si>
  <si>
    <t xml:space="preserve">Contractor notification</t>
  </si>
  <si>
    <t xml:space="preserve">61.3</t>
  </si>
  <si>
    <t xml:space="preserve">Was the Contractor notification separately recorded, correctly routed and within the configured time-bar control?</t>
  </si>
  <si>
    <t xml:space="preserve">Email_04_CE018_Notification_2026-03-05.eml | CE-018 | rev 1.0; Email_02_EW006_2026-02-25.eml | EW-006 | rev 1.0; Source_Register.csv | SRC-001 | rev 3.0</t>
  </si>
  <si>
    <t xml:space="preserve">PASSED</t>
  </si>
  <si>
    <t xml:space="preserve">CE-018 is registered as a separate record from EW-006 and was notified on 2026-03-05, one day after the restriction event of 2026-03-04. It was routed from the Contractor Delivery Lead to the Project Manager. Elapsed time is reported as an objective calculation only.</t>
  </si>
  <si>
    <t xml:space="preserve">No time-bar concern is indicated on the configured evidence. Any exception to a time bar is a Project Manager judgement.</t>
  </si>
  <si>
    <t xml:space="preserve">NEC-04</t>
  </si>
  <si>
    <t xml:space="preserve">PM notification response</t>
  </si>
  <si>
    <t xml:space="preserve">61.4</t>
  </si>
  <si>
    <t xml:space="preserve">Did the Project Manager respond within the configured one-week period?</t>
  </si>
  <si>
    <t xml:space="preserve">Email_05_PM_Response_2026-03-12.eml | PMR-018 | rev 1.0; Route_Clock_Rules.csv | CTRL-003 | rev 3.0 | row RC-01</t>
  </si>
  <si>
    <t xml:space="preserve">Trigger date 2026-03-05, configured period 7 days, due date 2026-03-12, actual date 2026-03-12. The response was recorded on the configured date.</t>
  </si>
  <si>
    <t xml:space="preserve">No escalation arises from this clock.</t>
  </si>
  <si>
    <t xml:space="preserve">NEC-05</t>
  </si>
  <si>
    <t xml:space="preserve">Quotation content</t>
  </si>
  <si>
    <t xml:space="preserve">62.2</t>
  </si>
  <si>
    <t xml:space="preserve">T1/T2/T3</t>
  </si>
  <si>
    <t xml:space="preserve">Does the quotation pack contain assessment details and, where remaining work is altered, the required alterations to the Accepted Programme?</t>
  </si>
  <si>
    <t xml:space="preserve">CE018_Quotation_RevB.csv | QUOT-CE018-REVB | rev B (5 lines by WBS, activity and CBS); Email_06_Quotation_Submission_2026-03-28.eml | QSUB-018 | rev 1.0; P6_Activity_Export_AP12.csv | PROG-AP12 | rev AP12; PROG-UP13 ABSENT</t>
  </si>
  <si>
    <t xml:space="preserve">FAILED_REWORK</t>
  </si>
  <si>
    <t xml:space="preserve">Assessment details are present: five priced lines totalling GBP 185,000, each linked to a WBS identifier, a programme activity, a CBS account and a stated basis. The required alterations to the Accepted Programme are NOT present in the assurance pack. No current programme record, and no separate programme-alteration record, is available in the pack. QSUB-018 states that the submission links current update UP13, but that record is absent and the statement cannot be verified. The quotation asserts a 10 working-day effect that no programme record in the pack supports.</t>
  </si>
  <si>
    <t xml:space="preserve">Clause 62.2 is explicitly checked and is NOT EVIDENCED IN THE ASSURANCE PACK. Assessment details are present. No current programme or separate programme-alteration record is available in the assurance pack. The assistant cannot determine whether the record was not submitted by the Contractor or was omitted when the assurance pack was assembled. The control is retained as FAILED_REWORK under the configured assurance controls: rework the evidence pack before any Project Manager decision on content. Whether the assessment is contractually correct remains a Project Manager judgement.</t>
  </si>
  <si>
    <t xml:space="preserve">Marcus Reed - Contractor Delivery Lead / Planning Manager (record custodian)</t>
  </si>
  <si>
    <t xml:space="preserve">NEC-06</t>
  </si>
  <si>
    <t xml:space="preserve">Quotation submission clock</t>
  </si>
  <si>
    <t xml:space="preserve">62.3</t>
  </si>
  <si>
    <t xml:space="preserve">Was the quotation and assessment detail submitted within the configured three-week period?</t>
  </si>
  <si>
    <t xml:space="preserve">Email_05_PM_Response_2026-03-12.eml | PMR-018 | rev 1.0; Email_06_Quotation_Submission_2026-03-28.eml | QSUB-018 | rev 1.0; Route_Clock_Rules.csv | CTRL-003 | rev 3.0 | row RC-02</t>
  </si>
  <si>
    <t xml:space="preserve">Trigger date 2026-03-12, configured period 21 days, due date 2026-04-02, actual submission 2026-03-28. The clock limb is satisfied. The content limb is assessed separately under NEC-05 and NEC-10; a timely email does not prove that the Clause 62.2 content requirement is met.</t>
  </si>
  <si>
    <t xml:space="preserve">No clock-based Clause 64.1 assessment trigger arises from lateness.</t>
  </si>
  <si>
    <t xml:space="preserve">Marcus Reed - Contractor Delivery Lead</t>
  </si>
  <si>
    <t xml:space="preserve">NEC-07</t>
  </si>
  <si>
    <t xml:space="preserve">PM quotation response</t>
  </si>
  <si>
    <t xml:space="preserve">62.3 / 62.6</t>
  </si>
  <si>
    <t xml:space="preserve">T3/T4</t>
  </si>
  <si>
    <t xml:space="preserve">Is the Project Manager response recorded, or correctly classified as pending-not-due at the cut-off?</t>
  </si>
  <si>
    <t xml:space="preserve">Route_Clock_Rules.csv | CTRL-003 | rev 3.0 | row RC-03; CE018_Event_Record.csv | CASE-001 | rev 1.1 | field assessment_cutoff; Change_Register.csv | CHG-018 | rev 5 | field decision_status</t>
  </si>
  <si>
    <t xml:space="preserve">PENDING_NOT_DUE</t>
  </si>
  <si>
    <t xml:space="preserve">Trigger date 2026-03-28, configured period 14 days, due date 2026-04-11. At the evidence cut-off of 2026-03-31 the response is pending and not overdue. No decision record DEC-CE018 exists and none has been inferred or drafted.</t>
  </si>
  <si>
    <t xml:space="preserve">No escalation at the cut-off. The response becomes overdue only after 2026-04-11. The decision is not made or anticipated by the assistant.</t>
  </si>
  <si>
    <t xml:space="preserve">NEC-08</t>
  </si>
  <si>
    <t xml:space="preserve">Clause 64.1 trigger 1</t>
  </si>
  <si>
    <t xml:space="preserve">64.1 - late/missing quotation</t>
  </si>
  <si>
    <t xml:space="preserve">T2/T3</t>
  </si>
  <si>
    <t xml:space="preserve">Has the Contractor failed to submit the quotation and assessment details within the permitted time?</t>
  </si>
  <si>
    <t xml:space="preserve">Email_06_Quotation_Submission_2026-03-28.eml | QSUB-018 | rev 1.0; CE018_Quotation_RevB.csv | QUOT-CE018-REVB | rev B; Route_Clock_Rules.csv | CTRL-003 | rev 3.0 | row RC-02</t>
  </si>
  <si>
    <t xml:space="preserve">NOT_TRIGGERED</t>
  </si>
  <si>
    <t xml:space="preserve">A quotation with priced assessment details was submitted on 2026-03-28, within the configured due date of 2026-04-02.</t>
  </si>
  <si>
    <t xml:space="preserve">No lateness-based assessment trigger is indicated on the configured evidence.</t>
  </si>
  <si>
    <t xml:space="preserve">NEC-09</t>
  </si>
  <si>
    <t xml:space="preserve">Clause 64.1 trigger 2</t>
  </si>
  <si>
    <t xml:space="preserve">64.1 - incorrect assessment</t>
  </si>
  <si>
    <t xml:space="preserve">Is there a material inconsistency or unsupported basis that may indicate the Contractor's assessment is not correct?</t>
  </si>
  <si>
    <t xml:space="preserve">CE018_Quotation_RevB.csv | QUOT-CE018-REVB | rev B; Cost_Forecast_P07.csv | FCST-P07 | rev P07; Risk_Register.csv | RISK-044 | rev 7; Change_Register.csv | CHG-018 | rev 5; CE018_WBS_Programme_CBS_Crosswalk.csv | XWALK-001 | rev 1.0; PROG-UP13 ABSENT</t>
  </si>
  <si>
    <t xml:space="preserve">PM_JUDGEMENT</t>
  </si>
  <si>
    <t xml:space="preserve">No inconsistency was detected between the records present: cost reconciles at GBP 185,000 across all five records and every line links to a valid WBS, activity and CBS. The test could not be completed because the time element of the assessment - the claimed 10 working-day effect and the extended preliminaries basis - has no current programme record against which it can be tested.</t>
  </si>
  <si>
    <t xml:space="preserve">The assistant reports an incomplete verification, not a defect. Only the Project Manager decides whether the assessment is contractually correct.</t>
  </si>
  <si>
    <t xml:space="preserve">NEC-10</t>
  </si>
  <si>
    <t xml:space="preserve">Clause 64.1 trigger 3</t>
  </si>
  <si>
    <t xml:space="preserve">62.2 / 64.1 - programme alteration missing</t>
  </si>
  <si>
    <t xml:space="preserve">Where the event alters remaining work, was the required programme or alteration submitted with the quotation pack?</t>
  </si>
  <si>
    <t xml:space="preserve">Email_06_Quotation_Submission_2026-03-28.eml | QSUB-018 | rev 1.0; P6_Activity_Export_AP12.csv | PROG-AP12 | rev AP12; Source_Register.csv | SRC-001 | rev 3.0 | row PROG-UP13; PROG-UP13 ABSENT</t>
  </si>
  <si>
    <t xml:space="preserve">The quotation asserts that remaining work is altered by 10 working days, but no current programme record and no separate programme-alteration record is present in or linked to the pack. QSUB-018 asserts a link to UP13; the record is absent, so the assertion cannot be verified. The assistant cannot distinguish an evidence-pack assembly omission from a Contractor submission failure, and does not assert either.</t>
  </si>
  <si>
    <t xml:space="preserve">Evidence-pack rework is required. The contractual status of this Clause 64.1 trigger is reserved to the Project Manager and is reported separately.</t>
  </si>
  <si>
    <t xml:space="preserve">Planning Manager (record custodian) via Sofia Khan - Project Controls Lead</t>
  </si>
  <si>
    <t xml:space="preserve">NEC-11</t>
  </si>
  <si>
    <t xml:space="preserve">Clause 64.1 trigger 4</t>
  </si>
  <si>
    <t xml:space="preserve">31.1 / 31.3 / 32.2 / 64.1 - latest programme not accepted</t>
  </si>
  <si>
    <t xml:space="preserve">Is an Accepted Programme available and is any relevant non-acceptance status identified?</t>
  </si>
  <si>
    <t xml:space="preserve">P6_Activity_Export_AP12.csv | PROG-AP12 | rev AP12 | field programme_status 'Accepted Programme'; CE018_Event_Record.csv | CASE-001 | rev 1.1 | fields accepted_programme, current_programme_update; PROG-UP13 ABSENT</t>
  </si>
  <si>
    <t xml:space="preserve">An Accepted Programme is available: AP12 at data date 2026-02-20, recorded as the Accepted Programme in both the P6 export and the controlled event record. No non-acceptance record is present. The acceptance or non-acceptance status of the later controlled update UP13 could not be checked because the record is absent. UP13 has not been treated as accepted, and AP12 has not been treated as a current update.</t>
  </si>
  <si>
    <t xml:space="preserve">The AP12 limb is satisfied. The latest-programme limb is untested. Contractual status is reserved to the Project Manager.</t>
  </si>
  <si>
    <t xml:space="preserve">NEC-12</t>
  </si>
  <si>
    <t xml:space="preserve">Retained human authority</t>
  </si>
  <si>
    <t xml:space="preserve">Clauses 61-64 and Authority Matrix</t>
  </si>
  <si>
    <t xml:space="preserve">Are the remaining notification, assessment, acceptance, instruction and implementation actions reserved to the named NEC4 role?</t>
  </si>
  <si>
    <t xml:space="preserve">Actor_Authority_Matrix.csv | CTRL-002 | rev 2.1 | rows EB, SK, AI; CE018_Control_Brief.txt | CTRL-001 | rev 3.0 | Retained Authority and Prohibited Actions</t>
  </si>
  <si>
    <t xml:space="preserve">Every remaining contractual action - the response to the quotation, the assessment, any acceptance and any implementation of CE-018 - is recorded against Elena Brooks. The assistant has prepared a cited pack and taken no reserved action. No communication has been drafted in another person's name.</t>
  </si>
  <si>
    <t xml:space="preserve">Authority control satisfied. No stop-and-refer arises on authority grounds.</t>
  </si>
  <si>
    <t xml:space="preserve">Controls failing</t>
  </si>
  <si>
    <t xml:space="preserve">Clause 62.2 check</t>
  </si>
  <si>
    <t xml:space="preserve">Process result</t>
  </si>
  <si>
    <t xml:space="preserve">CLAUSE 64.1 INTERVENTION TRIGGER CHECKS</t>
  </si>
  <si>
    <t xml:space="preserve">All four checks reported separately | The assistant does not decide that any trigger has contractual effect</t>
  </si>
  <si>
    <t xml:space="preserve">Trigger</t>
  </si>
  <si>
    <t xml:space="preserve">Evidence finding</t>
  </si>
  <si>
    <t xml:space="preserve">Contractual status</t>
  </si>
  <si>
    <t xml:space="preserve">Basis</t>
  </si>
  <si>
    <t xml:space="preserve">Trigger 1 - Contractor has not submitted a quotation and assessment details within the permitted time</t>
  </si>
  <si>
    <t xml:space="preserve">Quotation Rev B with five priced assessment lines submitted 2026-03-28 against the configured RC-02 due date of 2026-04-02.</t>
  </si>
  <si>
    <t xml:space="preserve">Route_Clock_Rules.csv | CTRL-003 | rev 3.0 | row RC-02; Email_06_Quotation_Submission_2026-03-28.eml | QSUB-018 | rev 1.0; CE018_Quotation_RevB.csv | QUOT-CE018-REVB | rev B</t>
  </si>
  <si>
    <t xml:space="preserve">Trigger 2 - Contractor has not assessed the compensation event correctly</t>
  </si>
  <si>
    <t xml:space="preserve">No inconsistency detected between the records present; all five records state GBP 185,000 and 10 working days and reconcile line by line to the crosswalk. The time element could not be tested because no current programme record is available.</t>
  </si>
  <si>
    <t xml:space="preserve">PROJECT MANAGER JUDGEMENT</t>
  </si>
  <si>
    <t xml:space="preserve">NEC4_Decision_Readiness_Control_Matrix.csv | CTRL-007 | rev 1.0 | row NEC-09 - only the Project Manager decides whether the assessment is contractually correct. The assistant reports an incomplete verification and makes no assertion of correctness or incorrectness.</t>
  </si>
  <si>
    <t xml:space="preserve">Trigger 3 - Contractor has not submitted a programme or alterations to a programme which the contract requires</t>
  </si>
  <si>
    <t xml:space="preserve">No current programme record and no separate programme-alteration record is present in or linked to the quotation pack. QSUB-018 states that the submission links current update UP13; the record PROG-UP13 is absent from the pack and the statement is unverified. Source_Register.csv rev 3.0 records PROG-UP13 as a required record deliberately omitted in S2.</t>
  </si>
  <si>
    <t xml:space="preserve">The objective evidence establishes only that the record is absent from the assurance pack. It does not establish whether the Contractor failed to submit it or whether the pack was assembled without it. That distinction must be resolved by retrieving PROG-UP13, after which this trigger is retested. The assistant does not decide that this trigger has contractual effect.</t>
  </si>
  <si>
    <t xml:space="preserve">Trigger 4 - Project Manager has not accepted the latest programme for one of the reasons stated in the contract</t>
  </si>
  <si>
    <t xml:space="preserve">AP12 is available and recorded as the Accepted Programme at data date 2026-02-20. No non-acceptance record is present. The submission and acceptance status of the later controlled update UP13 could not be checked because the record is absent.</t>
  </si>
  <si>
    <t xml:space="preserve">P6_Activity_Export_AP12.csv | PROG-AP12 | rev AP12; CE018_Event_Record.csv | CASE-001 | rev 1.1 | field current_programme_update. AP12 has not been treated as a current update and UP13 has not been treated as accepted.</t>
  </si>
  <si>
    <t xml:space="preserve">Summary</t>
  </si>
  <si>
    <t xml:space="preserve">EXCEPTIONS AND ACTIONS</t>
  </si>
  <si>
    <t xml:space="preserve">Assurance exceptions and pending actions reported separately | Administrative observations are non-actionable</t>
  </si>
  <si>
    <t xml:space="preserve">A. ASSURANCE EXCEPTIONS</t>
  </si>
  <si>
    <t xml:space="preserve">ID</t>
  </si>
  <si>
    <t xml:space="preserve">Issue</t>
  </si>
  <si>
    <t xml:space="preserve">Required action</t>
  </si>
  <si>
    <t xml:space="preserve">Due date</t>
  </si>
  <si>
    <t xml:space="preserve">Date basis</t>
  </si>
  <si>
    <t xml:space="preserve">Action status</t>
  </si>
  <si>
    <t xml:space="preserve">EX-01</t>
  </si>
  <si>
    <t xml:space="preserve">CRITICAL - Mandatory evidence missing</t>
  </si>
  <si>
    <t xml:space="preserve">The mandatory current controlled programme update P6_Activity_Export_UP13.csv (PROG-UP13, revision UP13) is not present in the S2 evidence pack.</t>
  </si>
  <si>
    <t xml:space="preserve">Source_Register.csv | SRC-001 | rev 3.0 | row PROG-UP13</t>
  </si>
  <si>
    <t xml:space="preserve">T1, T2 and T3 score 0; NEC-05 and NEC-10 fail; Clause 64.1 triggers 2, 3 and 4 cannot be closed; seven current-position reconciliation checks cannot be completed.</t>
  </si>
  <si>
    <t xml:space="preserve">Planning Manager (registered record owner), routed by Sofia Khan - Project Controls Lead</t>
  </si>
  <si>
    <t xml:space="preserve">Supply P6_Activity_Export_UP13.csv at approved revision UP13, controlled status current, with its data date, actual dates, Late Finish dates, total float and forecast; or supply the specific programme alteration record submitted with Quotation Rev B.</t>
  </si>
  <si>
    <t xml:space="preserve">2026-04-02</t>
  </si>
  <si>
    <t xml:space="preserve">Assurance rework target - not a contractual deadline</t>
  </si>
  <si>
    <t xml:space="preserve">Open</t>
  </si>
  <si>
    <t xml:space="preserve">T1, T2, T3; NEC-05, NEC-09, NEC-10, NEC-11; Clause 64.1 triggers 2, 3 and 4; full Cross-Record Reconciliation</t>
  </si>
  <si>
    <t xml:space="preserve">EX-02</t>
  </si>
  <si>
    <t xml:space="preserve">CRITICAL - Clause 62.2 content not evidenced</t>
  </si>
  <si>
    <t xml:space="preserve">The quotation pack does not contain, and is not linked to, the required alterations to the Accepted Programme. Assessment details are present; the programme content requirement is not evidenced.</t>
  </si>
  <si>
    <t xml:space="preserve">CE018_Quotation_RevB.csv | QUOT-CE018-REVB | rev B; Email_06_Quotation_Submission_2026-03-28.eml | QSUB-018 | rev 1.0; NEC4_Decision_Readiness_Control_Matrix.csv | CTRL-007 | rev 1.0 | row NEC-05</t>
  </si>
  <si>
    <t xml:space="preserve">NEC-05 FAILED_REWORK; NEC-10 FAILED_REWORK; the Clause 62.2 check is explicitly reported as not satisfied on the available evidence.</t>
  </si>
  <si>
    <t xml:space="preserve">Marcus Reed - Contractor Delivery Lead (submission), Planning Manager (record custodian)</t>
  </si>
  <si>
    <t xml:space="preserve">Produce the programme alteration relied on by Quotation Rev B and link it to the priced lines by activity and CBS.</t>
  </si>
  <si>
    <t xml:space="preserve">NEC-05, NEC-10; Clause 64.1 trigger 3; T2, T3</t>
  </si>
  <si>
    <t xml:space="preserve">EX-03</t>
  </si>
  <si>
    <t xml:space="preserve">MAJOR - Unverifiable schedule claim</t>
  </si>
  <si>
    <t xml:space="preserve">A 10 working-day schedule effect is stated identically in the quotation, forecast, risk and change records and in the controlled event record, but no programme record in the pack measures it. AP12 records variance to accepted finish of 0 for every CE-018 activity at its 2026-02-20 data date.</t>
  </si>
  <si>
    <t xml:space="preserve">CE018_Quotation_RevB.csv | QUOT-CE018-REVB | rev B | field schedule_effect_working_days; P6_Activity_Export_AP12.csv | PROG-AP12 | rev AP12 | field variance_to_accepted_finish_working_days</t>
  </si>
  <si>
    <t xml:space="preserve">The time element of the assessment is unverified. The GBP 50,000 extended time-related overhead on WSAE-C510 cannot be tested against a revised finish.</t>
  </si>
  <si>
    <t xml:space="preserve">On receipt of UP13, measure the effect on WSAE-A1200, WSAE-A1300, WSAE-A1400 and milestone WSAE-M9000 and record the measured variance against AP12.</t>
  </si>
  <si>
    <t xml:space="preserve">2026-04-07</t>
  </si>
  <si>
    <t xml:space="preserve">T2; NEC-09; Cross-Record Reconciliation time columns</t>
  </si>
  <si>
    <t xml:space="preserve">EX-04</t>
  </si>
  <si>
    <t xml:space="preserve">MAJOR - Uncorroborated controlled field</t>
  </si>
  <si>
    <t xml:space="preserve">CE018_Event_Record.csv records a full access date of 2026-03-18. No correspondence or programme record in the S2 pack corroborates that date; ACC-004 states only that full access remained subject to operational confirmation.</t>
  </si>
  <si>
    <t xml:space="preserve">CE018_Event_Record.csv | CASE-001 | rev 1.1 | field full_access_date; Email_03_Access_Restriction_2026-03-04.eml | ACC-004 | rev 1.0</t>
  </si>
  <si>
    <t xml:space="preserve">A controlled date used in the event record is not traceable to a source record within this scenario pack.</t>
  </si>
  <si>
    <t xml:space="preserve">Theo Grant - Access Interface Manager, with Sofia Khan - Project Controls Lead</t>
  </si>
  <si>
    <t xml:space="preserve">Supply the access confirmation evidencing the 2026-03-18 full access date, or correct the controlled event record.</t>
  </si>
  <si>
    <t xml:space="preserve">T1, T2; NEC-02</t>
  </si>
  <si>
    <t xml:space="preserve">EX-05</t>
  </si>
  <si>
    <t xml:space="preserve">MINOR - Unverified record statement</t>
  </si>
  <si>
    <t xml:space="preserve">QSUB-018 states that the submission links Accepted Programme AP12 and current update UP13. The AP12 link is verifiable; the UP13 link is not, because the record is absent.</t>
  </si>
  <si>
    <t xml:space="preserve">Recorded as a statement made within a project record. It has not been treated as confirmed evidence of the programme alteration.</t>
  </si>
  <si>
    <t xml:space="preserve">Confirm which controlled programme record was transmitted with the quotation and supply it.</t>
  </si>
  <si>
    <t xml:space="preserve">NEC-05, NEC-10</t>
  </si>
  <si>
    <t xml:space="preserve">EX-06</t>
  </si>
  <si>
    <t xml:space="preserve">MINOR - Control evidence not registered</t>
  </si>
  <si>
    <t xml:space="preserve">NEC-01 requires an Early Warning Register reference. No Early Warning Register record is registered in Source_Register.csv rev 3.0 for any scenario, so the item could not be checked.</t>
  </si>
  <si>
    <t xml:space="preserve">NEC4_Decision_Readiness_Control_Matrix.csv | CTRL-007 | rev 1.0 | row NEC-01; Source_Register.csv | SRC-001 | rev 3.0</t>
  </si>
  <si>
    <t xml:space="preserve">NEC-01 recorded CONDITIONAL rather than PASSED. Does not prevent review.</t>
  </si>
  <si>
    <t xml:space="preserve">Register the Early Warning Register reference or record it as out of scope for the demonstration configuration.</t>
  </si>
  <si>
    <t xml:space="preserve">2026-04-15</t>
  </si>
  <si>
    <t xml:space="preserve">EX-01 missing mandatory record; EX-02 Clause 62.2 content not evidenced in the assurance pack.</t>
  </si>
  <si>
    <t xml:space="preserve">Total exceptions raised</t>
  </si>
  <si>
    <t xml:space="preserve">2 critical, 2 major, 2 minor.</t>
  </si>
  <si>
    <t xml:space="preserve">B. PENDING ACTIONS</t>
  </si>
  <si>
    <t xml:space="preserve">Action</t>
  </si>
  <si>
    <t xml:space="preserve">Dependency</t>
  </si>
  <si>
    <t xml:space="preserve">AC-01</t>
  </si>
  <si>
    <t xml:space="preserve">Supply P6_Activity_Export_UP13.csv rev UP13, or the specific programme alteration relied on by Quotation Rev B</t>
  </si>
  <si>
    <t xml:space="preserve">Planning Manager, routed by Sofia Khan</t>
  </si>
  <si>
    <t xml:space="preserve">Open - required for rework</t>
  </si>
  <si>
    <t xml:space="preserve">EX-01, EX-02</t>
  </si>
  <si>
    <t xml:space="preserve">T1, T2, T3; NEC-05, NEC-09, NEC-10, NEC-11; Clause 64.1 triggers 2, 3, 4</t>
  </si>
  <si>
    <t xml:space="preserve">AC-02</t>
  </si>
  <si>
    <t xml:space="preserve">Reissue the assurance pack for Project Manager review after the missing record is registered and the retests are complete</t>
  </si>
  <si>
    <t xml:space="preserve">2026-04-08</t>
  </si>
  <si>
    <t xml:space="preserve">Open - dependent</t>
  </si>
  <si>
    <t xml:space="preserve">Full re-run of the Rev 3.0 assessment</t>
  </si>
  <si>
    <t xml:space="preserve">AC-03</t>
  </si>
  <si>
    <t xml:space="preserve">Project Manager review of the cited evidence and exceptions (CHG-018 recorded next action)</t>
  </si>
  <si>
    <t xml:space="preserve">Project record date recorded in Change_Register.csv | CHG-018 | rev 5</t>
  </si>
  <si>
    <t xml:space="preserve">Pending - not overdue at cut-off</t>
  </si>
  <si>
    <t xml:space="preserve">Change_Register.csv | CHG-018 | rev 5 | field due_date</t>
  </si>
  <si>
    <t xml:space="preserve">Not applicable - retained human decision</t>
  </si>
  <si>
    <t xml:space="preserve">AC-04</t>
  </si>
  <si>
    <t xml:space="preserve">Project Manager response to Quotation Rev B under configured rule RC-03</t>
  </si>
  <si>
    <t xml:space="preserve">2026-04-11</t>
  </si>
  <si>
    <t xml:space="preserve">Configured RC-03 Project Manager response date</t>
  </si>
  <si>
    <t xml:space="preserve">Pending - not due at the 2026-03-31 cut-off</t>
  </si>
  <si>
    <t xml:space="preserve">Route_Clock_Rules.csv | CTRL-003 | rev 3.0 | row RC-03</t>
  </si>
  <si>
    <t xml:space="preserve">NEC-07 after 2026-04-11</t>
  </si>
  <si>
    <t xml:space="preserve">C. ADMINISTRATIVE OBSERVATIONS (non-actionable)</t>
  </si>
  <si>
    <t xml:space="preserve">• Source_Register.csv rev 3.0 registers CTRL-001, CTRL-002, CTRL-003, CTRL-005, CTRL-006 and CTRL-007. No CTRL-004 identifier is registered and none is marked required. Numbering gap only; no action required.</t>
  </si>
  <si>
    <t xml:space="preserve">• CTRL-002, CTRL-003, CTRL-005, CTRL-007, WBS-001, CBS-001 and XWALK-001 carry no internal revision field. Their revisions are confirmed from the Source Register only.</t>
  </si>
  <si>
    <t xml:space="preserve">• Five branding PNG assets and the branding/output-controls note are formatting assets. They are not inventoried, cited, scored or added to the Source Register.</t>
  </si>
  <si>
    <t xml:space="preserve">DECISION AND AUDIT LOG</t>
  </si>
  <si>
    <t xml:space="preserve">Assistant preparation history and the reviewer-entry block reserved to the Project Manager</t>
  </si>
  <si>
    <t xml:space="preserve">Date</t>
  </si>
  <si>
    <t xml:space="preserve">Entry type</t>
  </si>
  <si>
    <t xml:space="preserve">Entry</t>
  </si>
  <si>
    <t xml:space="preserve">Actor</t>
  </si>
  <si>
    <t xml:space="preserve">Role</t>
  </si>
  <si>
    <t xml:space="preserve">Authority</t>
  </si>
  <si>
    <t xml:space="preserve">Result / next action</t>
  </si>
  <si>
    <t xml:space="preserve">Retest history</t>
  </si>
  <si>
    <t xml:space="preserve">2026-02-24</t>
  </si>
  <si>
    <t xml:space="preserve">Event evidence</t>
  </si>
  <si>
    <t xml:space="preserve">Operational access constraint recorded (CORR-001)</t>
  </si>
  <si>
    <t xml:space="preserve">Access Interface Manager</t>
  </si>
  <si>
    <t xml:space="preserve">Operational role</t>
  </si>
  <si>
    <t xml:space="preserve">Constraint recorded, not a route decision</t>
  </si>
  <si>
    <t xml:space="preserve">Closed</t>
  </si>
  <si>
    <t xml:space="preserve">n/a</t>
  </si>
  <si>
    <t xml:space="preserve">2026-02-25</t>
  </si>
  <si>
    <t xml:space="preserve">Early warning EW-006 given, separate record from CE-018</t>
  </si>
  <si>
    <t xml:space="preserve">Contractor Delivery Lead</t>
  </si>
  <si>
    <t xml:space="preserve">Contractor business role</t>
  </si>
  <si>
    <t xml:space="preserve">RC-EW satisfied on the configured date</t>
  </si>
  <si>
    <t xml:space="preserve">2026-03-04</t>
  </si>
  <si>
    <t xml:space="preserve">Access restriction confirmed (ACC-004); planned AP12 milestone WSAE-A1200 date</t>
  </si>
  <si>
    <t xml:space="preserve">RC-00 evidence present; PM determination required</t>
  </si>
  <si>
    <t xml:space="preserve">Open - PM</t>
  </si>
  <si>
    <t xml:space="preserve">2026-03-05</t>
  </si>
  <si>
    <t xml:space="preserve">Contractual record</t>
  </si>
  <si>
    <t xml:space="preserve">CE-018 notified to the Project Manager</t>
  </si>
  <si>
    <t xml:space="preserve">RC-01 clock started</t>
  </si>
  <si>
    <t xml:space="preserve">2026-03-12</t>
  </si>
  <si>
    <t xml:space="preserve">Project Manager response and quotation request (PMR-018)</t>
  </si>
  <si>
    <t xml:space="preserve">Named NEC4 role</t>
  </si>
  <si>
    <t xml:space="preserve">RC-01 satisfied; RC-02 clock started</t>
  </si>
  <si>
    <t xml:space="preserve">2026-03-28</t>
  </si>
  <si>
    <t xml:space="preserve">Quotation Rev B submitted, GBP 185,000 / 10 working days</t>
  </si>
  <si>
    <t xml:space="preserve">RC-02 clock satisfied; content failed NEC-05 and NEC-10</t>
  </si>
  <si>
    <t xml:space="preserve">Assurance</t>
  </si>
  <si>
    <t xml:space="preserve">S2 evidence cut-off applied; assurance assessment run</t>
  </si>
  <si>
    <t xml:space="preserve">CE-018 Assurance Assistant</t>
  </si>
  <si>
    <t xml:space="preserve">Configured AI support</t>
  </si>
  <si>
    <t xml:space="preserve">Non-contractual support</t>
  </si>
  <si>
    <t xml:space="preserve">Route: REWORK EVIDENCE PACK. T1=0, T2=0, T3=0, T4=2</t>
  </si>
  <si>
    <t xml:space="preserve">Issued for review</t>
  </si>
  <si>
    <t xml:space="preserve">First run - S2</t>
  </si>
  <si>
    <t xml:space="preserve">Missing mandatory record PROG-UP13 raised as EX-01</t>
  </si>
  <si>
    <t xml:space="preserve">Requested from the Planning Manager by 2026-04-02</t>
  </si>
  <si>
    <t xml:space="preserve">Retest T1, T2, T3, NEC-05, NEC-09, NEC-10, NEC-11 and triggers 2-4 on receipt</t>
  </si>
  <si>
    <t xml:space="preserve">Pending</t>
  </si>
  <si>
    <t xml:space="preserve">CHG-018 recorded next action: review cited evidence and exceptions</t>
  </si>
  <si>
    <t xml:space="preserve">Not yet decided</t>
  </si>
  <si>
    <t xml:space="preserve">RC-03 Project Manager response to Quotation Rev B falls due</t>
  </si>
  <si>
    <t xml:space="preserve">Not made and not anticipated by the assistant</t>
  </si>
  <si>
    <t xml:space="preserve">Pending - not due at cut-off</t>
  </si>
  <si>
    <t xml:space="preserve">Retest NEC-07 after 2026-04-11</t>
  </si>
  <si>
    <t xml:space="preserve">REVIEWER ENTRY BLOCK - reserved to Elena Brooks, NEC4 Project Manager (cells unlocked for entry)</t>
  </si>
  <si>
    <t xml:space="preserve">Reviewer name</t>
  </si>
  <si>
    <t xml:space="preserve">Review date</t>
  </si>
  <si>
    <t xml:space="preserve">Decision status</t>
  </si>
  <si>
    <t xml:space="preserve">Directed action</t>
  </si>
  <si>
    <t xml:space="preserve">Decision date</t>
  </si>
  <si>
    <t xml:space="preserve">Reissue required</t>
  </si>
  <si>
    <t xml:space="preserve">The assistant has made no contractual decision and has not drafted any contractual communication. Every entry above is a record of evidence or of assurance preparation.</t>
  </si>
  <si>
    <t xml:space="preserve">SOURCE CITATIONS</t>
  </si>
  <si>
    <t xml:space="preserve">Filename, controlled record identifier, revision, locator and evidence purpose</t>
  </si>
  <si>
    <t xml:space="preserve">Row / activity / WBS / CBS locator</t>
  </si>
  <si>
    <t xml:space="preserve">Evidence purpose</t>
  </si>
  <si>
    <t xml:space="preserve">Row PROG-UP13; full register</t>
  </si>
  <si>
    <t xml:space="preserve">Controls the approved evidence inventory; establishes the missing mandatory record</t>
  </si>
  <si>
    <t xml:space="preserve">Permitted task; prohibited actions; retained authority</t>
  </si>
  <si>
    <t xml:space="preserve">Assurance method and boundary</t>
  </si>
  <si>
    <t xml:space="preserve">Rows TG, MR, SK, EB, AM, AI</t>
  </si>
  <si>
    <t xml:space="preserve">Roles, responsibilities and authority boundaries</t>
  </si>
  <si>
    <t xml:space="preserve">Rows RC-EW, RC-00, RC-01, RC-02, RC-03</t>
  </si>
  <si>
    <t xml:space="preserve">Configured triggers, periods, due dates and owners</t>
  </si>
  <si>
    <t xml:space="preserve">Rows T1, T2, T3, T4</t>
  </si>
  <si>
    <t xml:space="preserve">Test purpose, scoring thresholds and failure routes</t>
  </si>
  <si>
    <t xml:space="preserve">Sections 1-11</t>
  </si>
  <si>
    <t xml:space="preserve">Rows NEC-01 to NEC-12</t>
  </si>
  <si>
    <t xml:space="preserve">Configured controls and Clause 64.1 trigger definitions</t>
  </si>
  <si>
    <t xml:space="preserve">Rows WSAE.10, WSAE.20.10, WSAE.30.10, WSAE.30.20</t>
  </si>
  <si>
    <t xml:space="preserve">Confirms every crosswalk WBS identifier exists</t>
  </si>
  <si>
    <t xml:space="preserve">Rows WSAE-C210, C310, C320, C510, C610</t>
  </si>
  <si>
    <t xml:space="preserve">Confirms every crosswalk CBS account exists</t>
  </si>
  <si>
    <t xml:space="preserve">5 CE-018 rows; row 5 WSAE-M9000</t>
  </si>
  <si>
    <t xml:space="preserve">Event to WBS, activity and CBS linkage</t>
  </si>
  <si>
    <t xml:space="preserve">Fields planned_access_date, restricted_access_date, full_access_date, schedule_effect_working_days, commercial_exposure_gbp, assessment_cutoff</t>
  </si>
  <si>
    <t xml:space="preserve">Controlled event facts and cut-off</t>
  </si>
  <si>
    <t xml:space="preserve">Message corr-001@wsae.demo; WBS WSAE.20.10; activities WSAE-A1150, WSAE-A1200</t>
  </si>
  <si>
    <t xml:space="preserve">First recorded awareness of the access constraint</t>
  </si>
  <si>
    <t xml:space="preserve">Message ew-006@wsae.demo; activities WSAE-A1200, WSAE-A1300, milestone WSAE-M9000</t>
  </si>
  <si>
    <t xml:space="preserve">Separate early-warning record</t>
  </si>
  <si>
    <t xml:space="preserve">Message acc-004@wsae.demo; WBS WSAE.20.10; activity WSAE-A1200</t>
  </si>
  <si>
    <t xml:space="preserve">Planned versus actual access on the event date</t>
  </si>
  <si>
    <t xml:space="preserve">Message ce-018@wsae.demo</t>
  </si>
  <si>
    <t xml:space="preserve">Contractor notification, separate from EW-006</t>
  </si>
  <si>
    <t xml:space="preserve">Message pmr-018@wsae.demo</t>
  </si>
  <si>
    <t xml:space="preserve">Project Manager response and quotation request; RC-01 actual date</t>
  </si>
  <si>
    <t xml:space="preserve">Message qsub-018@wsae.demo</t>
  </si>
  <si>
    <t xml:space="preserve">Submission route; unverified statement of a UP13 link</t>
  </si>
  <si>
    <t xml:space="preserve">Rows WSAE-A1100, A1150, A1200, A1300, A1400, M9000; data date 2026-02-20</t>
  </si>
  <si>
    <t xml:space="preserve">Accepted Programme planned position only</t>
  </si>
  <si>
    <t xml:space="preserve">RECORD ABSENT</t>
  </si>
  <si>
    <t xml:space="preserve">Mandatory current programme update - missing evidence; not inferred</t>
  </si>
  <si>
    <t xml:space="preserve">5 priced lines; total GBP 185,000; schedule effect 10 working days</t>
  </si>
  <si>
    <t xml:space="preserve">Assessment details by WBS, activity and CBS</t>
  </si>
  <si>
    <t xml:space="preserve">5 lines; total GBP 185,000; data date 2026-03-31</t>
  </si>
  <si>
    <t xml:space="preserve">Current cost forecast position</t>
  </si>
  <si>
    <t xml:space="preserve">Row RISK-044; WSAE.20.10; WSAE-A1200; GBP 185,000; 10 working days</t>
  </si>
  <si>
    <t xml:space="preserve">Risk record for the access event</t>
  </si>
  <si>
    <t xml:space="preserve">Row CHG-018; due date 2026-04-02; decision status not yet decided</t>
  </si>
  <si>
    <t xml:space="preserve">Change status, owner and next action</t>
  </si>
</sst>
</file>

<file path=xl/styles.xml><?xml version="1.0" encoding="utf-8"?>
<styleSheet xmlns="http://schemas.openxmlformats.org/spreadsheetml/2006/main">
  <numFmts count="3">
    <numFmt numFmtId="164" formatCode="General"/>
    <numFmt numFmtId="165" formatCode="General"/>
    <numFmt numFmtId="166" formatCode="\£#,##0;&quot;(£&quot;#,##0\);\-"/>
  </numFmts>
  <fonts count="21">
    <font>
      <sz val="11"/>
      <color theme="1"/>
      <name val="Calibri"/>
      <family val="2"/>
      <charset val="1"/>
    </font>
    <font>
      <sz val="10"/>
      <name val="Arial"/>
      <family val="0"/>
    </font>
    <font>
      <sz val="10"/>
      <name val="Arial"/>
      <family val="0"/>
    </font>
    <font>
      <sz val="10"/>
      <name val="Arial"/>
      <family val="0"/>
    </font>
    <font>
      <b val="true"/>
      <sz val="18"/>
      <color rgb="FF25395B"/>
      <name val="Arial"/>
      <family val="0"/>
      <charset val="1"/>
    </font>
    <font>
      <b val="true"/>
      <sz val="10"/>
      <color rgb="FF754887"/>
      <name val="Arial"/>
      <family val="0"/>
      <charset val="1"/>
    </font>
    <font>
      <i val="true"/>
      <sz val="8.5"/>
      <color rgb="FF5A6473"/>
      <name val="Arial"/>
      <family val="0"/>
      <charset val="1"/>
    </font>
    <font>
      <b val="true"/>
      <sz val="9.5"/>
      <color rgb="FF25395B"/>
      <name val="Arial"/>
      <family val="0"/>
      <charset val="1"/>
    </font>
    <font>
      <b val="true"/>
      <sz val="9.5"/>
      <name val="Arial"/>
      <family val="0"/>
      <charset val="1"/>
    </font>
    <font>
      <sz val="9.5"/>
      <name val="Arial"/>
      <family val="0"/>
      <charset val="1"/>
    </font>
    <font>
      <b val="true"/>
      <sz val="24"/>
      <color rgb="FF25395B"/>
      <name val="Arial"/>
      <family val="0"/>
      <charset val="1"/>
    </font>
    <font>
      <b val="true"/>
      <sz val="11"/>
      <color rgb="FF25395B"/>
      <name val="Arial"/>
      <family val="0"/>
      <charset val="1"/>
    </font>
    <font>
      <b val="true"/>
      <sz val="16"/>
      <color rgb="FFF36B5D"/>
      <name val="Arial"/>
      <family val="0"/>
      <charset val="1"/>
    </font>
    <font>
      <sz val="8"/>
      <color rgb="FF5A6473"/>
      <name val="Arial"/>
      <family val="0"/>
      <charset val="1"/>
    </font>
    <font>
      <b val="true"/>
      <sz val="16"/>
      <color rgb="FF25395B"/>
      <name val="Arial"/>
      <family val="0"/>
      <charset val="1"/>
    </font>
    <font>
      <sz val="10"/>
      <color rgb="FF754887"/>
      <name val="Arial"/>
      <family val="0"/>
      <charset val="1"/>
    </font>
    <font>
      <b val="true"/>
      <sz val="9.5"/>
      <color rgb="FFFFFFFF"/>
      <name val="Arial"/>
      <family val="0"/>
      <charset val="1"/>
    </font>
    <font>
      <b val="true"/>
      <sz val="9.5"/>
      <color rgb="FFF36B5D"/>
      <name val="Arial"/>
      <family val="0"/>
      <charset val="1"/>
    </font>
    <font>
      <b val="true"/>
      <sz val="12"/>
      <name val="Arial"/>
      <family val="0"/>
      <charset val="1"/>
    </font>
    <font>
      <b val="true"/>
      <sz val="12"/>
      <color rgb="FF25395B"/>
      <name val="Arial"/>
      <family val="0"/>
      <charset val="1"/>
    </font>
    <font>
      <b val="true"/>
      <sz val="12"/>
      <color rgb="FFF36B5D"/>
      <name val="Arial"/>
      <family val="0"/>
      <charset val="1"/>
    </font>
  </fonts>
  <fills count="7">
    <fill>
      <patternFill patternType="none"/>
    </fill>
    <fill>
      <patternFill patternType="gray125"/>
    </fill>
    <fill>
      <patternFill patternType="solid">
        <fgColor rgb="FFE5F6FB"/>
        <bgColor rgb="FFE3F2E7"/>
      </patternFill>
    </fill>
    <fill>
      <patternFill patternType="solid">
        <fgColor rgb="FFF1EBF5"/>
        <bgColor rgb="FFFDE9E6"/>
      </patternFill>
    </fill>
    <fill>
      <patternFill patternType="solid">
        <fgColor rgb="FFFDE9E6"/>
        <bgColor rgb="FFFDF3E2"/>
      </patternFill>
    </fill>
    <fill>
      <patternFill patternType="solid">
        <fgColor rgb="FF25395B"/>
        <bgColor rgb="FF003366"/>
      </patternFill>
    </fill>
    <fill>
      <patternFill patternType="solid">
        <fgColor rgb="FFFFF9E0"/>
        <bgColor rgb="FFFDF3E2"/>
      </patternFill>
    </fill>
  </fills>
  <borders count="3">
    <border diagonalUp="false" diagonalDown="false">
      <left/>
      <right/>
      <top/>
      <bottom/>
      <diagonal/>
    </border>
    <border diagonalUp="false" diagonalDown="false">
      <left style="thin">
        <color rgb="FFB9C2CF"/>
      </left>
      <right style="thin">
        <color rgb="FFB9C2CF"/>
      </right>
      <top style="thin">
        <color rgb="FFB9C2CF"/>
      </top>
      <bottom style="thin">
        <color rgb="FFB9C2CF"/>
      </bottom>
      <diagonal/>
    </border>
    <border diagonalUp="false" diagonalDown="false">
      <left style="thin">
        <color rgb="FFB9C2CF"/>
      </left>
      <right/>
      <top style="thin">
        <color rgb="FFB9C2CF"/>
      </top>
      <bottom style="thin">
        <color rgb="FFB9C2C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5" fontId="10"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7" fillId="4"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true" applyProtection="false">
      <alignment horizontal="general" vertical="top" textRotation="0" wrapText="true" indent="0" shrinkToFit="false"/>
      <protection locked="true" hidden="false"/>
    </xf>
    <xf numFmtId="166" fontId="8" fillId="2"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5" fontId="19" fillId="0" borderId="0" xfId="0" applyFont="true" applyBorder="false" applyAlignment="true" applyProtection="false">
      <alignment horizontal="center" vertical="center" textRotation="0" wrapText="true" indent="0" shrinkToFit="false"/>
      <protection locked="true" hidden="false"/>
    </xf>
    <xf numFmtId="165" fontId="20" fillId="0"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2" fillId="4"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5" fontId="14" fillId="0" borderId="1" xfId="0" applyFont="true" applyBorder="true" applyAlignment="true" applyProtection="false">
      <alignment horizontal="center" vertical="center" textRotation="0" wrapText="true" indent="0" shrinkToFit="false"/>
      <protection locked="true" hidden="false"/>
    </xf>
    <xf numFmtId="164" fontId="7" fillId="3" borderId="0" xfId="0" applyFont="true" applyBorder="tru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ont>
        <name val="Arial"/>
        <charset val="1"/>
        <family val="0"/>
        <b val="1"/>
        <color rgb="FF107C41"/>
        <sz val="24"/>
      </font>
      <fill>
        <patternFill>
          <bgColor rgb="FFE3F2E7"/>
        </patternFill>
      </fill>
    </dxf>
    <dxf>
      <font>
        <name val="Arial"/>
        <charset val="1"/>
        <family val="0"/>
        <b val="1"/>
        <color rgb="FFB07500"/>
        <sz val="24"/>
      </font>
      <fill>
        <patternFill>
          <bgColor rgb="FFFDF3E2"/>
        </patternFill>
      </fill>
    </dxf>
    <dxf>
      <font>
        <name val="Arial"/>
        <charset val="1"/>
        <family val="0"/>
        <b val="1"/>
        <color rgb="FFF36B5D"/>
        <sz val="24"/>
      </font>
      <fill>
        <patternFill>
          <bgColor rgb="FFFDE9E6"/>
        </patternFill>
      </fill>
    </dxf>
    <dxf>
      <font>
        <name val="Arial"/>
        <charset val="1"/>
        <family val="0"/>
        <b val="1"/>
        <color rgb="FFF36B5D"/>
        <sz val="9"/>
      </font>
      <fill>
        <patternFill>
          <bgColor rgb="FFFDE9E6"/>
        </patternFill>
      </fill>
    </dxf>
    <dxf>
      <font>
        <name val="Arial"/>
        <charset val="1"/>
        <family val="0"/>
        <b val="1"/>
        <color rgb="FF107C41"/>
        <sz val="9"/>
      </font>
      <fill>
        <patternFill>
          <bgColor rgb="FFE3F2E7"/>
        </patternFill>
      </fill>
    </dxf>
    <dxf>
      <fill>
        <patternFill patternType="solid">
          <fgColor rgb="FF25395B"/>
          <bgColor rgb="FF000000"/>
        </patternFill>
      </fill>
    </dxf>
    <dxf>
      <fill>
        <patternFill patternType="solid">
          <fgColor rgb="FFE3F2E7"/>
          <bgColor rgb="FF000000"/>
        </patternFill>
      </fill>
    </dxf>
    <dxf>
      <fill>
        <patternFill patternType="solid">
          <fgColor rgb="FFFDE9E6"/>
          <bgColor rgb="FF000000"/>
        </patternFill>
      </fill>
    </dxf>
    <dxf>
      <fill>
        <patternFill patternType="solid">
          <fgColor rgb="FF107C41"/>
          <bgColor rgb="FF000000"/>
        </patternFill>
      </fill>
    </dxf>
    <dxf>
      <fill>
        <patternFill patternType="solid">
          <fgColor rgb="FFF36B5D"/>
          <bgColor rgb="FF000000"/>
        </patternFill>
      </fill>
    </dxf>
    <dxf>
      <fill>
        <patternFill patternType="solid">
          <fgColor rgb="FFFFFFFF"/>
          <bgColor rgb="FF000000"/>
        </patternFill>
      </fill>
    </dxf>
    <dxf>
      <fill>
        <patternFill patternType="solid">
          <bgColor rgb="FF000000"/>
        </patternFill>
      </fill>
    </dxf>
    <dxf>
      <font>
        <name val="Arial"/>
        <charset val="1"/>
        <family val="0"/>
        <color rgb="FF107C41"/>
        <sz val="9"/>
      </font>
      <fill>
        <patternFill>
          <bgColor rgb="FFE3F2E7"/>
        </patternFill>
      </fill>
    </dxf>
    <dxf>
      <font>
        <name val="Arial"/>
        <charset val="1"/>
        <family val="0"/>
        <b val="1"/>
        <color rgb="FF107C41"/>
        <sz val="12"/>
      </font>
      <fill>
        <patternFill>
          <bgColor rgb="FFE3F2E7"/>
        </patternFill>
      </fill>
    </dxf>
    <dxf>
      <font>
        <name val="Arial"/>
        <charset val="1"/>
        <family val="0"/>
        <b val="1"/>
        <color rgb="FFB07500"/>
        <sz val="12"/>
      </font>
      <fill>
        <patternFill>
          <bgColor rgb="FFFDF3E2"/>
        </patternFill>
      </fill>
    </dxf>
    <dxf>
      <font>
        <name val="Arial"/>
        <charset val="1"/>
        <family val="0"/>
        <b val="1"/>
        <color rgb="FFF36B5D"/>
        <sz val="12"/>
      </font>
      <fill>
        <patternFill>
          <bgColor rgb="FFFDE9E6"/>
        </patternFill>
      </fill>
    </dxf>
    <dxf>
      <fill>
        <patternFill patternType="solid">
          <fgColor rgb="FFFDF3E2"/>
          <bgColor rgb="FF000000"/>
        </patternFill>
      </fill>
    </dxf>
    <dxf>
      <fill>
        <patternFill patternType="solid">
          <fgColor rgb="FFB07500"/>
          <bgColor rgb="FF000000"/>
        </patternFill>
      </fill>
    </dxf>
    <dxf>
      <font>
        <name val="Arial"/>
        <charset val="1"/>
        <family val="0"/>
        <b val="1"/>
        <color rgb="FFB07500"/>
        <sz val="9"/>
      </font>
      <fill>
        <patternFill>
          <bgColor rgb="FFFDF3E2"/>
        </patternFill>
      </fill>
    </dxf>
    <dxf>
      <font>
        <name val="Arial"/>
        <charset val="1"/>
        <family val="0"/>
        <b val="1"/>
        <color rgb="FF754887"/>
        <sz val="9"/>
      </font>
      <fill>
        <patternFill>
          <bgColor rgb="FFF1EBF5"/>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07500"/>
      <rgbColor rgb="FF800080"/>
      <rgbColor rgb="FF107C41"/>
      <rgbColor rgb="FFB9C2CF"/>
      <rgbColor rgb="FF808080"/>
      <rgbColor rgb="FF9999FF"/>
      <rgbColor rgb="FF754887"/>
      <rgbColor rgb="FFFFF9E0"/>
      <rgbColor rgb="FFE5F6FB"/>
      <rgbColor rgb="FF660066"/>
      <rgbColor rgb="FFF36B5D"/>
      <rgbColor rgb="FF0066CC"/>
      <rgbColor rgb="FFCCCCFF"/>
      <rgbColor rgb="FF000080"/>
      <rgbColor rgb="FFFF00FF"/>
      <rgbColor rgb="FFFFFF00"/>
      <rgbColor rgb="FF00FFFF"/>
      <rgbColor rgb="FF800080"/>
      <rgbColor rgb="FF800000"/>
      <rgbColor rgb="FF008080"/>
      <rgbColor rgb="FF0000FF"/>
      <rgbColor rgb="FF00CCFF"/>
      <rgbColor rgb="FFE3F2E7"/>
      <rgbColor rgb="FFF1EBF5"/>
      <rgbColor rgb="FFFDF3E2"/>
      <rgbColor rgb="FF99CCFF"/>
      <rgbColor rgb="FFFF99CC"/>
      <rgbColor rgb="FFCC99FF"/>
      <rgbColor rgb="FFFDE9E6"/>
      <rgbColor rgb="FF3366FF"/>
      <rgbColor rgb="FF33CCCC"/>
      <rgbColor rgb="FF99CC00"/>
      <rgbColor rgb="FFFFCC00"/>
      <rgbColor rgb="FFFF9900"/>
      <rgbColor rgb="FFFF6600"/>
      <rgbColor rgb="FF5A6473"/>
      <rgbColor rgb="FF969696"/>
      <rgbColor rgb="FF003366"/>
      <rgbColor rgb="FF339966"/>
      <rgbColor rgb="FF003300"/>
      <rgbColor rgb="FF333300"/>
      <rgbColor rgb="FF993300"/>
      <rgbColor rgb="FF993366"/>
      <rgbColor rgb="FF333399"/>
      <rgbColor rgb="FF25395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548280</xdr:colOff>
      <xdr:row>1</xdr:row>
      <xdr:rowOff>56880</xdr:rowOff>
    </xdr:to>
    <xdr:pic>
      <xdr:nvPicPr>
        <xdr:cNvPr id="0" name="Image 1" descr="Picture"/>
        <xdr:cNvPicPr/>
      </xdr:nvPicPr>
      <xdr:blipFill>
        <a:blip r:embed="rId1"/>
        <a:stretch/>
      </xdr:blipFill>
      <xdr:spPr>
        <a:xfrm>
          <a:off x="0" y="0"/>
          <a:ext cx="2381040" cy="637920"/>
        </a:xfrm>
        <a:prstGeom prst="rect">
          <a:avLst/>
        </a:prstGeom>
        <a:ln w="0">
          <a:noFill/>
        </a:ln>
      </xdr:spPr>
    </xdr:pic>
    <xdr:clientData/>
  </xdr:twoCellAnchor>
  <xdr:twoCellAnchor editAs="oneCell">
    <xdr:from>
      <xdr:col>4</xdr:col>
      <xdr:colOff>0</xdr:colOff>
      <xdr:row>0</xdr:row>
      <xdr:rowOff>0</xdr:rowOff>
    </xdr:from>
    <xdr:to>
      <xdr:col>5</xdr:col>
      <xdr:colOff>548640</xdr:colOff>
      <xdr:row>0</xdr:row>
      <xdr:rowOff>580680</xdr:rowOff>
    </xdr:to>
    <xdr:pic>
      <xdr:nvPicPr>
        <xdr:cNvPr id="1" name="Image 2" descr="Picture"/>
        <xdr:cNvPicPr/>
      </xdr:nvPicPr>
      <xdr:blipFill>
        <a:blip r:embed="rId2"/>
        <a:stretch/>
      </xdr:blipFill>
      <xdr:spPr>
        <a:xfrm>
          <a:off x="7894440" y="0"/>
          <a:ext cx="2381040" cy="580680"/>
        </a:xfrm>
        <a:prstGeom prst="rect">
          <a:avLst/>
        </a:prstGeom>
        <a:ln w="0">
          <a:noFill/>
        </a:ln>
      </xdr:spPr>
    </xdr:pic>
    <xdr:clientData/>
  </xdr:twoCellAnchor>
  <xdr:twoCellAnchor editAs="oneCell">
    <xdr:from>
      <xdr:col>0</xdr:col>
      <xdr:colOff>0</xdr:colOff>
      <xdr:row>6</xdr:row>
      <xdr:rowOff>0</xdr:rowOff>
    </xdr:from>
    <xdr:to>
      <xdr:col>1</xdr:col>
      <xdr:colOff>1024560</xdr:colOff>
      <xdr:row>6</xdr:row>
      <xdr:rowOff>437760</xdr:rowOff>
    </xdr:to>
    <xdr:pic>
      <xdr:nvPicPr>
        <xdr:cNvPr id="2" name="Image 3" descr="Picture"/>
        <xdr:cNvPicPr/>
      </xdr:nvPicPr>
      <xdr:blipFill>
        <a:blip r:embed="rId3"/>
        <a:stretch/>
      </xdr:blipFill>
      <xdr:spPr>
        <a:xfrm>
          <a:off x="0" y="2057400"/>
          <a:ext cx="2857320" cy="4377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5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26"/>
    <col collapsed="false" customWidth="true" hidden="false" outlineLevel="0" max="4" min="4" style="0" width="30"/>
    <col collapsed="false" customWidth="true" hidden="false" outlineLevel="0" max="5" min="5" style="0" width="26"/>
    <col collapsed="false" customWidth="true" hidden="false" outlineLevel="0" max="6" min="6" style="0" width="34"/>
  </cols>
  <sheetData>
    <row r="1" customFormat="false" ht="45.75" hidden="false" customHeight="true" outlineLevel="0" collapsed="false"/>
    <row r="2" customFormat="false" ht="45.75" hidden="false" customHeight="true" outlineLevel="0" collapsed="false"/>
    <row r="4" customFormat="false" ht="25.5" hidden="false" customHeight="true" outlineLevel="0" collapsed="false">
      <c r="A4" s="1" t="s">
        <v>0</v>
      </c>
      <c r="B4" s="1"/>
      <c r="C4" s="1"/>
      <c r="D4" s="1"/>
      <c r="E4" s="1"/>
      <c r="F4" s="1"/>
    </row>
    <row r="5" customFormat="false" ht="15" hidden="false" customHeight="false" outlineLevel="0" collapsed="false">
      <c r="A5" s="2" t="s">
        <v>1</v>
      </c>
      <c r="B5" s="2"/>
      <c r="C5" s="2"/>
      <c r="D5" s="2"/>
      <c r="E5" s="2"/>
      <c r="F5" s="2"/>
    </row>
    <row r="6" customFormat="false" ht="15" hidden="false" customHeight="false" outlineLevel="0" collapsed="false">
      <c r="A6" s="3" t="s">
        <v>2</v>
      </c>
      <c r="B6" s="3"/>
      <c r="C6" s="3"/>
      <c r="D6" s="3"/>
      <c r="E6" s="3"/>
      <c r="F6" s="3"/>
    </row>
    <row r="7" customFormat="false" ht="37.5" hidden="false" customHeight="true" outlineLevel="0" collapsed="false"/>
    <row r="9" customFormat="false" ht="15" hidden="false" customHeight="false" outlineLevel="0" collapsed="false">
      <c r="A9" s="4" t="s">
        <v>3</v>
      </c>
      <c r="B9" s="4"/>
      <c r="C9" s="4"/>
      <c r="D9" s="4"/>
      <c r="E9" s="4"/>
      <c r="F9" s="4"/>
    </row>
    <row r="10" customFormat="false" ht="21.75" hidden="false" customHeight="true" outlineLevel="0" collapsed="false">
      <c r="A10" s="5" t="s">
        <v>4</v>
      </c>
      <c r="B10" s="6" t="s">
        <v>5</v>
      </c>
      <c r="C10" s="6"/>
      <c r="D10" s="5" t="s">
        <v>6</v>
      </c>
      <c r="E10" s="6" t="s">
        <v>7</v>
      </c>
      <c r="F10" s="6"/>
    </row>
    <row r="11" customFormat="false" ht="21.75" hidden="false" customHeight="true" outlineLevel="0" collapsed="false">
      <c r="A11" s="5" t="s">
        <v>8</v>
      </c>
      <c r="B11" s="6" t="s">
        <v>9</v>
      </c>
      <c r="C11" s="6"/>
      <c r="D11" s="5" t="s">
        <v>10</v>
      </c>
      <c r="E11" s="6" t="s">
        <v>11</v>
      </c>
      <c r="F11" s="6"/>
    </row>
    <row r="12" customFormat="false" ht="21.75" hidden="false" customHeight="true" outlineLevel="0" collapsed="false">
      <c r="A12" s="5" t="s">
        <v>12</v>
      </c>
      <c r="B12" s="6" t="s">
        <v>13</v>
      </c>
      <c r="C12" s="6"/>
      <c r="D12" s="5" t="s">
        <v>14</v>
      </c>
      <c r="E12" s="6" t="s">
        <v>15</v>
      </c>
      <c r="F12" s="6"/>
    </row>
    <row r="13" customFormat="false" ht="21.75" hidden="false" customHeight="true" outlineLevel="0" collapsed="false">
      <c r="A13" s="5" t="s">
        <v>16</v>
      </c>
      <c r="B13" s="6" t="s">
        <v>17</v>
      </c>
      <c r="C13" s="6"/>
      <c r="D13" s="5" t="s">
        <v>18</v>
      </c>
      <c r="E13" s="6" t="s">
        <v>19</v>
      </c>
      <c r="F13" s="6"/>
    </row>
    <row r="14" customFormat="false" ht="21.75" hidden="false" customHeight="true" outlineLevel="0" collapsed="false">
      <c r="A14" s="5" t="s">
        <v>20</v>
      </c>
      <c r="B14" s="6" t="s">
        <v>21</v>
      </c>
      <c r="C14" s="6"/>
      <c r="D14" s="5" t="s">
        <v>22</v>
      </c>
      <c r="E14" s="6" t="s">
        <v>23</v>
      </c>
      <c r="F14" s="6"/>
    </row>
    <row r="15" customFormat="false" ht="21.75" hidden="false" customHeight="true" outlineLevel="0" collapsed="false">
      <c r="A15" s="5" t="s">
        <v>24</v>
      </c>
      <c r="B15" s="6" t="s">
        <v>25</v>
      </c>
      <c r="C15" s="6"/>
      <c r="D15" s="5" t="s">
        <v>26</v>
      </c>
      <c r="E15" s="6" t="s">
        <v>27</v>
      </c>
      <c r="F15" s="6"/>
    </row>
    <row r="16" customFormat="false" ht="21.75" hidden="false" customHeight="true" outlineLevel="0" collapsed="false">
      <c r="A16" s="5" t="s">
        <v>28</v>
      </c>
      <c r="B16" s="6" t="s">
        <v>29</v>
      </c>
      <c r="C16" s="6"/>
      <c r="D16" s="5" t="s">
        <v>30</v>
      </c>
      <c r="E16" s="6" t="s">
        <v>31</v>
      </c>
      <c r="F16" s="6"/>
    </row>
    <row r="18" customFormat="false" ht="15" hidden="false" customHeight="false" outlineLevel="0" collapsed="false">
      <c r="A18" s="4" t="s">
        <v>32</v>
      </c>
      <c r="B18" s="4"/>
      <c r="C18" s="4"/>
      <c r="D18" s="4"/>
      <c r="E18" s="4"/>
      <c r="F18" s="4"/>
    </row>
    <row r="19" customFormat="false" ht="30" hidden="false" customHeight="true" outlineLevel="0" collapsed="false">
      <c r="A19" s="7" t="s">
        <v>33</v>
      </c>
      <c r="B19" s="7" t="s">
        <v>34</v>
      </c>
      <c r="C19" s="7" t="s">
        <v>35</v>
      </c>
      <c r="D19" s="7" t="s">
        <v>36</v>
      </c>
    </row>
    <row r="20" customFormat="false" ht="39.75" hidden="false" customHeight="true" outlineLevel="0" collapsed="false">
      <c r="A20" s="8" t="n">
        <f aca="false">'Four-Test Scorecard'!D5</f>
        <v>0</v>
      </c>
      <c r="B20" s="8" t="n">
        <f aca="false">'Four-Test Scorecard'!D6</f>
        <v>0</v>
      </c>
      <c r="C20" s="8" t="n">
        <f aca="false">'Four-Test Scorecard'!D7</f>
        <v>0</v>
      </c>
      <c r="D20" s="8" t="n">
        <f aca="false">'Four-Test Scorecard'!D8</f>
        <v>2</v>
      </c>
    </row>
    <row r="21" customFormat="false" ht="21.75" hidden="false" customHeight="true" outlineLevel="0" collapsed="false">
      <c r="A21" s="9" t="str">
        <f aca="false">'Four-Test Scorecard'!E5</f>
        <v>CRITICAL FAILURE</v>
      </c>
      <c r="B21" s="9" t="str">
        <f aca="false">'Four-Test Scorecard'!E6</f>
        <v>CRITICAL FAILURE</v>
      </c>
      <c r="C21" s="9" t="str">
        <f aca="false">'Four-Test Scorecard'!E7</f>
        <v>CRITICAL FAILURE</v>
      </c>
      <c r="D21" s="9" t="str">
        <f aca="false">'Four-Test Scorecard'!E8</f>
        <v>PASS</v>
      </c>
    </row>
    <row r="23" customFormat="false" ht="15" hidden="false" customHeight="false" outlineLevel="0" collapsed="false">
      <c r="A23" s="4" t="s">
        <v>37</v>
      </c>
      <c r="B23" s="4"/>
      <c r="C23" s="4"/>
      <c r="D23" s="4"/>
      <c r="E23" s="4"/>
      <c r="F23" s="4"/>
    </row>
    <row r="24" customFormat="false" ht="15" hidden="false" customHeight="false" outlineLevel="0" collapsed="false">
      <c r="A24" s="10" t="s">
        <v>38</v>
      </c>
      <c r="B24" s="9" t="n">
        <f aca="false">'Exceptions and Actions'!$C$13</f>
        <v>2</v>
      </c>
    </row>
    <row r="25" customFormat="false" ht="15" hidden="false" customHeight="false" outlineLevel="0" collapsed="false">
      <c r="A25" s="10" t="s">
        <v>39</v>
      </c>
      <c r="B25" s="9" t="n">
        <f aca="false">SUM(A20:D20)</f>
        <v>2</v>
      </c>
    </row>
    <row r="26" customFormat="false" ht="15" hidden="false" customHeight="false" outlineLevel="0" collapsed="false">
      <c r="A26" s="10" t="s">
        <v>40</v>
      </c>
      <c r="B26" s="11" t="n">
        <f aca="false">COUNTIF(A20:D20,0)</f>
        <v>3</v>
      </c>
    </row>
    <row r="27" customFormat="false" ht="15" hidden="false" customHeight="false" outlineLevel="0" collapsed="false">
      <c r="A27" s="10" t="s">
        <v>41</v>
      </c>
      <c r="B27" s="9" t="str">
        <f aca="false">IF(D20=0,"YES","NO")</f>
        <v>NO</v>
      </c>
    </row>
    <row r="28" customFormat="false" ht="15" hidden="false" customHeight="false" outlineLevel="0" collapsed="false">
      <c r="A28" s="10" t="s">
        <v>42</v>
      </c>
      <c r="B28" s="9" t="str">
        <f aca="false">IF(COUNTIF('Clause 64.1 Triggers'!$D$5:$D$8,"TRIGGER_INDICATED")&gt;0,"YES","NO")</f>
        <v>NO</v>
      </c>
    </row>
    <row r="29" customFormat="false" ht="15" hidden="false" customHeight="false" outlineLevel="0" collapsed="false">
      <c r="A29" s="10" t="s">
        <v>43</v>
      </c>
      <c r="B29" s="9" t="str">
        <f aca="false">IF(COUNTIF('Evidence Register'!$A$5:$A$27,"MISSING - MANDATORY")&gt;0,"YES","NO")</f>
        <v>YES</v>
      </c>
    </row>
    <row r="30" customFormat="false" ht="15" hidden="false" customHeight="false" outlineLevel="0" collapsed="false">
      <c r="A30" s="10" t="s">
        <v>44</v>
      </c>
      <c r="B30" s="9" t="str">
        <f aca="false">IF(C20=0,"YES","NO")</f>
        <v>YES</v>
      </c>
    </row>
    <row r="31" customFormat="false" ht="15" hidden="false" customHeight="false" outlineLevel="0" collapsed="false">
      <c r="A31" s="10" t="s">
        <v>45</v>
      </c>
      <c r="B31" s="9" t="n">
        <f aca="false">COUNTIF(A20:D20,1)</f>
        <v>0</v>
      </c>
    </row>
    <row r="32" customFormat="false" ht="15" hidden="false" customHeight="false" outlineLevel="0" collapsed="false">
      <c r="A32" s="10" t="s">
        <v>46</v>
      </c>
      <c r="B32" s="9" t="n">
        <f aca="false">'NEC4 Control Cross-Reference'!$D$18</f>
        <v>2</v>
      </c>
    </row>
    <row r="34" customFormat="false" ht="33.75" hidden="false" customHeight="true" outlineLevel="0" collapsed="false">
      <c r="A34" s="12" t="s">
        <v>47</v>
      </c>
      <c r="B34" s="13" t="str">
        <f aca="false">IF(B27="YES","REFER TO PROJECT MANAGER",IF(B28="YES","STOP / RECONCILE",IF(B29="YES","REWORK EVIDENCE PACK",IF(B30="YES","STOP / ESCALATE",IF(B31&gt;0,"READY WITH CONDITIONS","READY FOR PROJECT MANAGER REVIEW")))))</f>
        <v>REWORK EVIDENCE PACK</v>
      </c>
      <c r="C34" s="13"/>
      <c r="D34" s="13"/>
      <c r="E34" s="13"/>
      <c r="F34" s="13"/>
    </row>
    <row r="35" customFormat="false" ht="15" hidden="false" customHeight="true" outlineLevel="0" collapsed="false">
      <c r="A35" s="14" t="s">
        <v>48</v>
      </c>
      <c r="B35" s="14"/>
      <c r="C35" s="14"/>
      <c r="D35" s="14"/>
      <c r="E35" s="14"/>
      <c r="F35" s="14"/>
    </row>
    <row r="37" customFormat="false" ht="15" hidden="false" customHeight="false" outlineLevel="0" collapsed="false">
      <c r="A37" s="4" t="s">
        <v>49</v>
      </c>
      <c r="B37" s="4"/>
      <c r="C37" s="4"/>
      <c r="D37" s="4"/>
      <c r="E37" s="4"/>
      <c r="F37" s="4"/>
    </row>
    <row r="38" customFormat="false" ht="30" hidden="false" customHeight="true" outlineLevel="0" collapsed="false">
      <c r="A38" s="5" t="s">
        <v>50</v>
      </c>
      <c r="B38" s="6" t="s">
        <v>51</v>
      </c>
      <c r="C38" s="6"/>
      <c r="D38" s="6"/>
      <c r="E38" s="6"/>
      <c r="F38" s="6"/>
    </row>
    <row r="39" customFormat="false" ht="30" hidden="false" customHeight="true" outlineLevel="0" collapsed="false">
      <c r="A39" s="5" t="s">
        <v>52</v>
      </c>
      <c r="B39" s="6" t="s">
        <v>53</v>
      </c>
      <c r="C39" s="6"/>
      <c r="D39" s="6"/>
      <c r="E39" s="6"/>
      <c r="F39" s="6"/>
    </row>
    <row r="40" customFormat="false" ht="30" hidden="false" customHeight="true" outlineLevel="0" collapsed="false">
      <c r="A40" s="5" t="s">
        <v>54</v>
      </c>
      <c r="B40" s="6" t="s">
        <v>55</v>
      </c>
      <c r="C40" s="6"/>
      <c r="D40" s="6"/>
      <c r="E40" s="6"/>
      <c r="F40" s="6"/>
    </row>
    <row r="41" customFormat="false" ht="30" hidden="false" customHeight="true" outlineLevel="0" collapsed="false">
      <c r="A41" s="5" t="s">
        <v>56</v>
      </c>
      <c r="B41" s="6" t="s">
        <v>57</v>
      </c>
      <c r="C41" s="6"/>
      <c r="D41" s="6"/>
      <c r="E41" s="6"/>
      <c r="F41" s="6"/>
    </row>
    <row r="42" customFormat="false" ht="30" hidden="false" customHeight="true" outlineLevel="0" collapsed="false">
      <c r="A42" s="5" t="s">
        <v>58</v>
      </c>
      <c r="B42" s="6" t="s">
        <v>59</v>
      </c>
      <c r="C42" s="6"/>
      <c r="D42" s="6"/>
      <c r="E42" s="6"/>
      <c r="F42" s="6"/>
    </row>
    <row r="43" customFormat="false" ht="30" hidden="false" customHeight="true" outlineLevel="0" collapsed="false">
      <c r="A43" s="5" t="s">
        <v>60</v>
      </c>
      <c r="B43" s="6" t="s">
        <v>61</v>
      </c>
      <c r="C43" s="6"/>
      <c r="D43" s="6"/>
      <c r="E43" s="6"/>
      <c r="F43" s="6"/>
    </row>
    <row r="44" customFormat="false" ht="30" hidden="false" customHeight="true" outlineLevel="0" collapsed="false">
      <c r="A44" s="5" t="s">
        <v>62</v>
      </c>
      <c r="B44" s="6" t="s">
        <v>63</v>
      </c>
      <c r="C44" s="6"/>
      <c r="D44" s="6"/>
      <c r="E44" s="6"/>
      <c r="F44" s="6"/>
    </row>
    <row r="45" customFormat="false" ht="30" hidden="false" customHeight="true" outlineLevel="0" collapsed="false">
      <c r="A45" s="5" t="s">
        <v>64</v>
      </c>
      <c r="B45" s="6" t="s">
        <v>65</v>
      </c>
      <c r="C45" s="6"/>
      <c r="D45" s="6"/>
      <c r="E45" s="6"/>
      <c r="F45" s="6"/>
    </row>
    <row r="46" customFormat="false" ht="30" hidden="false" customHeight="true" outlineLevel="0" collapsed="false">
      <c r="A46" s="5" t="s">
        <v>66</v>
      </c>
      <c r="B46" s="6" t="s">
        <v>67</v>
      </c>
      <c r="C46" s="6"/>
      <c r="D46" s="6"/>
      <c r="E46" s="6"/>
      <c r="F46" s="6"/>
    </row>
    <row r="47" customFormat="false" ht="30" hidden="false" customHeight="true" outlineLevel="0" collapsed="false">
      <c r="A47" s="5" t="s">
        <v>68</v>
      </c>
      <c r="B47" s="6" t="s">
        <v>69</v>
      </c>
      <c r="C47" s="6"/>
      <c r="D47" s="6"/>
      <c r="E47" s="6"/>
      <c r="F47" s="6"/>
    </row>
    <row r="48" customFormat="false" ht="30" hidden="false" customHeight="true" outlineLevel="0" collapsed="false">
      <c r="A48" s="5" t="s">
        <v>24</v>
      </c>
      <c r="B48" s="6" t="s">
        <v>70</v>
      </c>
      <c r="C48" s="6"/>
      <c r="D48" s="6"/>
      <c r="E48" s="6"/>
      <c r="F48" s="6"/>
    </row>
    <row r="50" customFormat="false" ht="19.4" hidden="false" customHeight="true" outlineLevel="0" collapsed="false">
      <c r="A50" s="14" t="s">
        <v>71</v>
      </c>
      <c r="B50" s="14"/>
      <c r="C50" s="14"/>
      <c r="D50" s="14"/>
      <c r="E50" s="14"/>
      <c r="F50" s="14"/>
    </row>
  </sheetData>
  <mergeCells count="35">
    <mergeCell ref="A4:F4"/>
    <mergeCell ref="A5:F5"/>
    <mergeCell ref="A6:F6"/>
    <mergeCell ref="A9:F9"/>
    <mergeCell ref="B10:C10"/>
    <mergeCell ref="E10:F10"/>
    <mergeCell ref="B11:C11"/>
    <mergeCell ref="E11:F11"/>
    <mergeCell ref="B12:C12"/>
    <mergeCell ref="E12:F12"/>
    <mergeCell ref="B13:C13"/>
    <mergeCell ref="E13:F13"/>
    <mergeCell ref="B14:C14"/>
    <mergeCell ref="E14:F14"/>
    <mergeCell ref="B15:C15"/>
    <mergeCell ref="E15:F15"/>
    <mergeCell ref="B16:C16"/>
    <mergeCell ref="E16:F16"/>
    <mergeCell ref="A18:F18"/>
    <mergeCell ref="A23:F23"/>
    <mergeCell ref="B34:F34"/>
    <mergeCell ref="A35:F35"/>
    <mergeCell ref="A37:F37"/>
    <mergeCell ref="B38:F38"/>
    <mergeCell ref="B39:F39"/>
    <mergeCell ref="B40:F40"/>
    <mergeCell ref="B41:F41"/>
    <mergeCell ref="B42:F42"/>
    <mergeCell ref="B43:F43"/>
    <mergeCell ref="B44:F44"/>
    <mergeCell ref="B45:F45"/>
    <mergeCell ref="B46:F46"/>
    <mergeCell ref="B47:F47"/>
    <mergeCell ref="B48:F48"/>
    <mergeCell ref="A50:F50"/>
  </mergeCells>
  <conditionalFormatting sqref="A20:D20">
    <cfRule type="cellIs" priority="2" operator="equal" aboveAverage="0" equalAverage="0" bottom="0" percent="0" rank="0" text="" dxfId="0">
      <formula>2</formula>
    </cfRule>
    <cfRule type="cellIs" priority="3" operator="equal" aboveAverage="0" equalAverage="0" bottom="0" percent="0" rank="0" text="" dxfId="1">
      <formula>1</formula>
    </cfRule>
    <cfRule type="cellIs" priority="4" operator="equal" aboveAverage="0" equalAverage="0" bottom="0" percent="0" rank="0" text="" dxfId="2">
      <formula>0</formula>
    </cfRule>
  </conditionalFormatting>
  <conditionalFormatting sqref="B27:B30">
    <cfRule type="cellIs" priority="5" operator="equal" aboveAverage="0" equalAverage="0" bottom="0" percent="0" rank="0" text="" dxfId="3">
      <formula>"YES"</formula>
    </cfRule>
    <cfRule type="cellIs" priority="6" operator="equal" aboveAverage="0" equalAverage="0" bottom="0" percent="0" rank="0" text="" dxfId="4">
      <formula>"NO"</formula>
    </cfRule>
  </conditionalFormatting>
  <conditionalFormatting sqref="B26">
    <cfRule type="cellIs" priority="7" operator="greaterThan" aboveAverage="0" equalAverage="0" bottom="0" percent="0" rank="0" text="" dxfId="3">
      <formula>0</formula>
    </cfRule>
  </conditionalFormatting>
  <printOptions headings="false" gridLines="false" gridLinesSet="true" horizontalCentered="tru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WSAE | CE-018 | Rev 3.1 | Cut-off 2026-03-31&amp;R&amp;8 Page &amp;P of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46"/>
    <col collapsed="false" customWidth="true" hidden="false" outlineLevel="0" max="4" min="4" style="0" width="26"/>
    <col collapsed="false" customWidth="true" hidden="false" outlineLevel="0" max="5" min="5" style="0" width="12"/>
    <col collapsed="false" customWidth="true" hidden="false" outlineLevel="0" max="6" min="6" style="0" width="16"/>
    <col collapsed="false" customWidth="true" hidden="false" outlineLevel="0" max="7" min="7" style="0" width="26"/>
    <col collapsed="false" customWidth="true" hidden="false" outlineLevel="0" max="8" min="8" style="0" width="52"/>
    <col collapsed="false" customWidth="true" hidden="false" outlineLevel="0" max="9" min="9" style="0" width="30"/>
  </cols>
  <sheetData>
    <row r="1" customFormat="false" ht="24" hidden="false" customHeight="true" outlineLevel="0" collapsed="false">
      <c r="A1" s="15" t="s">
        <v>72</v>
      </c>
      <c r="B1" s="15"/>
      <c r="C1" s="15"/>
      <c r="D1" s="15"/>
      <c r="E1" s="15"/>
      <c r="F1" s="15"/>
      <c r="G1" s="15"/>
      <c r="H1" s="15"/>
      <c r="I1" s="15"/>
    </row>
    <row r="2" customFormat="false" ht="15" hidden="false" customHeight="false" outlineLevel="0" collapsed="false">
      <c r="A2" s="16" t="s">
        <v>73</v>
      </c>
      <c r="B2" s="16"/>
      <c r="C2" s="16"/>
      <c r="D2" s="16"/>
      <c r="E2" s="16"/>
      <c r="F2" s="16"/>
      <c r="G2" s="16"/>
      <c r="H2" s="16"/>
      <c r="I2" s="16"/>
    </row>
    <row r="4" customFormat="false" ht="30" hidden="false" customHeight="true" outlineLevel="0" collapsed="false">
      <c r="A4" s="17" t="s">
        <v>74</v>
      </c>
      <c r="B4" s="17" t="s">
        <v>75</v>
      </c>
      <c r="C4" s="17" t="s">
        <v>76</v>
      </c>
      <c r="D4" s="17" t="s">
        <v>77</v>
      </c>
      <c r="E4" s="17" t="s">
        <v>78</v>
      </c>
      <c r="F4" s="17" t="s">
        <v>79</v>
      </c>
      <c r="G4" s="17" t="s">
        <v>80</v>
      </c>
      <c r="H4" s="17" t="s">
        <v>81</v>
      </c>
      <c r="I4" s="17" t="s">
        <v>82</v>
      </c>
    </row>
    <row r="5" customFormat="false" ht="25.5" hidden="false" customHeight="true" outlineLevel="0" collapsed="false">
      <c r="A5" s="6" t="s">
        <v>83</v>
      </c>
      <c r="B5" s="6" t="s">
        <v>84</v>
      </c>
      <c r="C5" s="6" t="s">
        <v>85</v>
      </c>
      <c r="D5" s="6" t="s">
        <v>86</v>
      </c>
      <c r="E5" s="6" t="s">
        <v>87</v>
      </c>
      <c r="F5" s="6" t="s">
        <v>88</v>
      </c>
      <c r="G5" s="6" t="s">
        <v>89</v>
      </c>
      <c r="H5" s="6" t="s">
        <v>90</v>
      </c>
      <c r="I5" s="6" t="s">
        <v>23</v>
      </c>
    </row>
    <row r="6" customFormat="false" ht="25.5" hidden="false" customHeight="true" outlineLevel="0" collapsed="false">
      <c r="A6" s="6" t="s">
        <v>83</v>
      </c>
      <c r="B6" s="6" t="s">
        <v>91</v>
      </c>
      <c r="C6" s="6" t="s">
        <v>92</v>
      </c>
      <c r="D6" s="6" t="s">
        <v>93</v>
      </c>
      <c r="E6" s="6" t="s">
        <v>87</v>
      </c>
      <c r="F6" s="6" t="s">
        <v>88</v>
      </c>
      <c r="G6" s="6" t="s">
        <v>89</v>
      </c>
      <c r="H6" s="6" t="s">
        <v>94</v>
      </c>
      <c r="I6" s="6" t="s">
        <v>95</v>
      </c>
    </row>
    <row r="7" customFormat="false" ht="25.5" hidden="false" customHeight="true" outlineLevel="0" collapsed="false">
      <c r="A7" s="6" t="s">
        <v>83</v>
      </c>
      <c r="B7" s="6" t="s">
        <v>96</v>
      </c>
      <c r="C7" s="6" t="s">
        <v>97</v>
      </c>
      <c r="D7" s="6" t="s">
        <v>98</v>
      </c>
      <c r="E7" s="6" t="s">
        <v>99</v>
      </c>
      <c r="F7" s="6" t="s">
        <v>88</v>
      </c>
      <c r="G7" s="6" t="s">
        <v>89</v>
      </c>
      <c r="H7" s="6" t="s">
        <v>100</v>
      </c>
      <c r="I7" s="6" t="s">
        <v>101</v>
      </c>
    </row>
    <row r="8" customFormat="false" ht="25.5" hidden="false" customHeight="true" outlineLevel="0" collapsed="false">
      <c r="A8" s="6" t="s">
        <v>83</v>
      </c>
      <c r="B8" s="6" t="s">
        <v>102</v>
      </c>
      <c r="C8" s="6" t="s">
        <v>103</v>
      </c>
      <c r="D8" s="6" t="s">
        <v>104</v>
      </c>
      <c r="E8" s="6" t="s">
        <v>87</v>
      </c>
      <c r="F8" s="6" t="s">
        <v>88</v>
      </c>
      <c r="G8" s="6" t="s">
        <v>105</v>
      </c>
      <c r="H8" s="6" t="s">
        <v>106</v>
      </c>
      <c r="I8" s="6" t="s">
        <v>107</v>
      </c>
    </row>
    <row r="9" customFormat="false" ht="25.5" hidden="false" customHeight="true" outlineLevel="0" collapsed="false">
      <c r="A9" s="6" t="s">
        <v>83</v>
      </c>
      <c r="B9" s="6" t="s">
        <v>108</v>
      </c>
      <c r="C9" s="6" t="s">
        <v>109</v>
      </c>
      <c r="D9" s="6" t="s">
        <v>110</v>
      </c>
      <c r="E9" s="6" t="s">
        <v>87</v>
      </c>
      <c r="F9" s="6" t="s">
        <v>88</v>
      </c>
      <c r="G9" s="6" t="s">
        <v>89</v>
      </c>
      <c r="H9" s="6" t="s">
        <v>111</v>
      </c>
      <c r="I9" s="6" t="s">
        <v>112</v>
      </c>
    </row>
    <row r="10" customFormat="false" ht="25.5" hidden="false" customHeight="true" outlineLevel="0" collapsed="false">
      <c r="A10" s="6" t="s">
        <v>83</v>
      </c>
      <c r="B10" s="6" t="s">
        <v>113</v>
      </c>
      <c r="C10" s="6" t="s">
        <v>114</v>
      </c>
      <c r="D10" s="6" t="s">
        <v>115</v>
      </c>
      <c r="E10" s="6" t="s">
        <v>87</v>
      </c>
      <c r="F10" s="6" t="s">
        <v>88</v>
      </c>
      <c r="G10" s="6" t="s">
        <v>89</v>
      </c>
      <c r="H10" s="6" t="s">
        <v>116</v>
      </c>
      <c r="I10" s="6" t="s">
        <v>117</v>
      </c>
    </row>
    <row r="11" customFormat="false" ht="25.5" hidden="false" customHeight="true" outlineLevel="0" collapsed="false">
      <c r="A11" s="6" t="s">
        <v>83</v>
      </c>
      <c r="B11" s="6" t="s">
        <v>118</v>
      </c>
      <c r="C11" s="6" t="s">
        <v>119</v>
      </c>
      <c r="D11" s="6" t="s">
        <v>120</v>
      </c>
      <c r="E11" s="6" t="s">
        <v>121</v>
      </c>
      <c r="F11" s="6" t="s">
        <v>88</v>
      </c>
      <c r="G11" s="6" t="s">
        <v>105</v>
      </c>
      <c r="H11" s="6" t="s">
        <v>122</v>
      </c>
      <c r="I11" s="6" t="s">
        <v>123</v>
      </c>
    </row>
    <row r="12" customFormat="false" ht="25.5" hidden="false" customHeight="true" outlineLevel="0" collapsed="false">
      <c r="A12" s="6" t="s">
        <v>83</v>
      </c>
      <c r="B12" s="6" t="s">
        <v>124</v>
      </c>
      <c r="C12" s="6" t="s">
        <v>125</v>
      </c>
      <c r="D12" s="6" t="s">
        <v>126</v>
      </c>
      <c r="E12" s="6" t="s">
        <v>121</v>
      </c>
      <c r="F12" s="6" t="s">
        <v>88</v>
      </c>
      <c r="G12" s="6" t="s">
        <v>127</v>
      </c>
      <c r="H12" s="6" t="s">
        <v>128</v>
      </c>
      <c r="I12" s="6" t="s">
        <v>129</v>
      </c>
    </row>
    <row r="13" customFormat="false" ht="25.5" hidden="false" customHeight="true" outlineLevel="0" collapsed="false">
      <c r="A13" s="6" t="s">
        <v>83</v>
      </c>
      <c r="B13" s="6" t="s">
        <v>130</v>
      </c>
      <c r="C13" s="6" t="s">
        <v>131</v>
      </c>
      <c r="D13" s="6" t="s">
        <v>132</v>
      </c>
      <c r="E13" s="6" t="s">
        <v>121</v>
      </c>
      <c r="F13" s="6" t="s">
        <v>88</v>
      </c>
      <c r="G13" s="6" t="s">
        <v>133</v>
      </c>
      <c r="H13" s="6" t="s">
        <v>134</v>
      </c>
      <c r="I13" s="6" t="s">
        <v>135</v>
      </c>
    </row>
    <row r="14" customFormat="false" ht="25.5" hidden="false" customHeight="true" outlineLevel="0" collapsed="false">
      <c r="A14" s="6" t="s">
        <v>83</v>
      </c>
      <c r="B14" s="6" t="s">
        <v>136</v>
      </c>
      <c r="C14" s="6" t="s">
        <v>137</v>
      </c>
      <c r="D14" s="6" t="s">
        <v>138</v>
      </c>
      <c r="E14" s="6" t="s">
        <v>121</v>
      </c>
      <c r="F14" s="6" t="s">
        <v>88</v>
      </c>
      <c r="G14" s="6" t="s">
        <v>89</v>
      </c>
      <c r="H14" s="6" t="s">
        <v>139</v>
      </c>
      <c r="I14" s="6" t="s">
        <v>140</v>
      </c>
    </row>
    <row r="15" customFormat="false" ht="25.5" hidden="false" customHeight="true" outlineLevel="0" collapsed="false">
      <c r="A15" s="6" t="s">
        <v>83</v>
      </c>
      <c r="B15" s="6" t="s">
        <v>141</v>
      </c>
      <c r="C15" s="6" t="s">
        <v>142</v>
      </c>
      <c r="D15" s="6" t="s">
        <v>143</v>
      </c>
      <c r="E15" s="6" t="s">
        <v>144</v>
      </c>
      <c r="F15" s="6" t="s">
        <v>88</v>
      </c>
      <c r="G15" s="6" t="s">
        <v>89</v>
      </c>
      <c r="H15" s="6" t="s">
        <v>145</v>
      </c>
      <c r="I15" s="6" t="s">
        <v>146</v>
      </c>
    </row>
    <row r="16" customFormat="false" ht="25.5" hidden="false" customHeight="true" outlineLevel="0" collapsed="false">
      <c r="A16" s="6" t="s">
        <v>83</v>
      </c>
      <c r="B16" s="6" t="s">
        <v>147</v>
      </c>
      <c r="C16" s="6" t="s">
        <v>148</v>
      </c>
      <c r="D16" s="6" t="s">
        <v>149</v>
      </c>
      <c r="E16" s="6" t="s">
        <v>121</v>
      </c>
      <c r="F16" s="6" t="s">
        <v>88</v>
      </c>
      <c r="G16" s="6" t="s">
        <v>150</v>
      </c>
      <c r="H16" s="6" t="s">
        <v>151</v>
      </c>
      <c r="I16" s="6" t="s">
        <v>152</v>
      </c>
    </row>
    <row r="17" customFormat="false" ht="25.5" hidden="false" customHeight="true" outlineLevel="0" collapsed="false">
      <c r="A17" s="6" t="s">
        <v>83</v>
      </c>
      <c r="B17" s="6" t="s">
        <v>153</v>
      </c>
      <c r="C17" s="6" t="s">
        <v>154</v>
      </c>
      <c r="D17" s="6" t="s">
        <v>155</v>
      </c>
      <c r="E17" s="6" t="s">
        <v>121</v>
      </c>
      <c r="F17" s="6" t="s">
        <v>88</v>
      </c>
      <c r="G17" s="6" t="s">
        <v>156</v>
      </c>
      <c r="H17" s="6" t="s">
        <v>157</v>
      </c>
      <c r="I17" s="6" t="s">
        <v>158</v>
      </c>
    </row>
    <row r="18" customFormat="false" ht="25.5" hidden="false" customHeight="true" outlineLevel="0" collapsed="false">
      <c r="A18" s="6" t="s">
        <v>83</v>
      </c>
      <c r="B18" s="6" t="s">
        <v>159</v>
      </c>
      <c r="C18" s="6" t="s">
        <v>160</v>
      </c>
      <c r="D18" s="6" t="s">
        <v>161</v>
      </c>
      <c r="E18" s="6" t="s">
        <v>121</v>
      </c>
      <c r="F18" s="6" t="s">
        <v>88</v>
      </c>
      <c r="G18" s="6" t="s">
        <v>150</v>
      </c>
      <c r="H18" s="6" t="s">
        <v>162</v>
      </c>
      <c r="I18" s="6" t="s">
        <v>163</v>
      </c>
    </row>
    <row r="19" customFormat="false" ht="25.5" hidden="false" customHeight="true" outlineLevel="0" collapsed="false">
      <c r="A19" s="6" t="s">
        <v>83</v>
      </c>
      <c r="B19" s="6" t="s">
        <v>164</v>
      </c>
      <c r="C19" s="6" t="s">
        <v>165</v>
      </c>
      <c r="D19" s="6" t="s">
        <v>166</v>
      </c>
      <c r="E19" s="6" t="s">
        <v>121</v>
      </c>
      <c r="F19" s="6" t="s">
        <v>88</v>
      </c>
      <c r="G19" s="6" t="s">
        <v>156</v>
      </c>
      <c r="H19" s="6" t="s">
        <v>167</v>
      </c>
      <c r="I19" s="6" t="s">
        <v>168</v>
      </c>
    </row>
    <row r="20" customFormat="false" ht="25.5" hidden="false" customHeight="true" outlineLevel="0" collapsed="false">
      <c r="A20" s="6" t="s">
        <v>83</v>
      </c>
      <c r="B20" s="6" t="s">
        <v>169</v>
      </c>
      <c r="C20" s="6" t="s">
        <v>170</v>
      </c>
      <c r="D20" s="6" t="s">
        <v>171</v>
      </c>
      <c r="E20" s="6" t="s">
        <v>121</v>
      </c>
      <c r="F20" s="6" t="s">
        <v>88</v>
      </c>
      <c r="G20" s="6" t="s">
        <v>172</v>
      </c>
      <c r="H20" s="6" t="s">
        <v>173</v>
      </c>
      <c r="I20" s="6" t="s">
        <v>174</v>
      </c>
    </row>
    <row r="21" customFormat="false" ht="25.5" hidden="false" customHeight="true" outlineLevel="0" collapsed="false">
      <c r="A21" s="6" t="s">
        <v>83</v>
      </c>
      <c r="B21" s="6" t="s">
        <v>175</v>
      </c>
      <c r="C21" s="6" t="s">
        <v>176</v>
      </c>
      <c r="D21" s="6" t="s">
        <v>177</v>
      </c>
      <c r="E21" s="6" t="s">
        <v>121</v>
      </c>
      <c r="F21" s="6" t="s">
        <v>88</v>
      </c>
      <c r="G21" s="6" t="s">
        <v>156</v>
      </c>
      <c r="H21" s="6" t="s">
        <v>178</v>
      </c>
      <c r="I21" s="6" t="s">
        <v>179</v>
      </c>
    </row>
    <row r="22" customFormat="false" ht="25.5" hidden="false" customHeight="true" outlineLevel="0" collapsed="false">
      <c r="A22" s="6" t="s">
        <v>83</v>
      </c>
      <c r="B22" s="6" t="s">
        <v>180</v>
      </c>
      <c r="C22" s="6" t="s">
        <v>181</v>
      </c>
      <c r="D22" s="6" t="s">
        <v>182</v>
      </c>
      <c r="E22" s="6" t="s">
        <v>183</v>
      </c>
      <c r="F22" s="6" t="s">
        <v>184</v>
      </c>
      <c r="G22" s="6" t="s">
        <v>127</v>
      </c>
      <c r="H22" s="6" t="s">
        <v>185</v>
      </c>
      <c r="I22" s="6" t="s">
        <v>186</v>
      </c>
    </row>
    <row r="23" customFormat="false" ht="25.5" hidden="false" customHeight="true" outlineLevel="0" collapsed="false">
      <c r="A23" s="6" t="s">
        <v>187</v>
      </c>
      <c r="B23" s="6" t="s">
        <v>188</v>
      </c>
      <c r="C23" s="6" t="s">
        <v>189</v>
      </c>
      <c r="D23" s="6" t="s">
        <v>190</v>
      </c>
      <c r="E23" s="6" t="s">
        <v>191</v>
      </c>
      <c r="F23" s="6" t="s">
        <v>192</v>
      </c>
      <c r="G23" s="6" t="s">
        <v>127</v>
      </c>
      <c r="H23" s="6" t="s">
        <v>193</v>
      </c>
      <c r="I23" s="6" t="s">
        <v>194</v>
      </c>
    </row>
    <row r="24" customFormat="false" ht="25.5" hidden="false" customHeight="true" outlineLevel="0" collapsed="false">
      <c r="A24" s="6" t="s">
        <v>83</v>
      </c>
      <c r="B24" s="6" t="s">
        <v>195</v>
      </c>
      <c r="C24" s="6" t="s">
        <v>196</v>
      </c>
      <c r="D24" s="6" t="s">
        <v>197</v>
      </c>
      <c r="E24" s="6" t="s">
        <v>198</v>
      </c>
      <c r="F24" s="6" t="s">
        <v>88</v>
      </c>
      <c r="G24" s="6" t="s">
        <v>199</v>
      </c>
      <c r="H24" s="6" t="s">
        <v>200</v>
      </c>
      <c r="I24" s="6" t="s">
        <v>201</v>
      </c>
    </row>
    <row r="25" customFormat="false" ht="25.5" hidden="false" customHeight="true" outlineLevel="0" collapsed="false">
      <c r="A25" s="6" t="s">
        <v>83</v>
      </c>
      <c r="B25" s="6" t="s">
        <v>202</v>
      </c>
      <c r="C25" s="6" t="s">
        <v>203</v>
      </c>
      <c r="D25" s="6" t="s">
        <v>204</v>
      </c>
      <c r="E25" s="6" t="s">
        <v>205</v>
      </c>
      <c r="F25" s="6" t="s">
        <v>88</v>
      </c>
      <c r="G25" s="6" t="s">
        <v>89</v>
      </c>
      <c r="H25" s="6" t="s">
        <v>206</v>
      </c>
      <c r="I25" s="6" t="s">
        <v>207</v>
      </c>
    </row>
    <row r="26" customFormat="false" ht="25.5" hidden="false" customHeight="true" outlineLevel="0" collapsed="false">
      <c r="A26" s="6" t="s">
        <v>83</v>
      </c>
      <c r="B26" s="6" t="s">
        <v>208</v>
      </c>
      <c r="C26" s="6" t="s">
        <v>209</v>
      </c>
      <c r="D26" s="6" t="s">
        <v>210</v>
      </c>
      <c r="E26" s="6" t="s">
        <v>211</v>
      </c>
      <c r="F26" s="6" t="s">
        <v>88</v>
      </c>
      <c r="G26" s="6" t="s">
        <v>212</v>
      </c>
      <c r="H26" s="6" t="s">
        <v>213</v>
      </c>
      <c r="I26" s="6" t="s">
        <v>214</v>
      </c>
    </row>
    <row r="27" customFormat="false" ht="25.5" hidden="false" customHeight="true" outlineLevel="0" collapsed="false">
      <c r="A27" s="6" t="s">
        <v>83</v>
      </c>
      <c r="B27" s="6" t="s">
        <v>215</v>
      </c>
      <c r="C27" s="6" t="s">
        <v>216</v>
      </c>
      <c r="D27" s="6" t="s">
        <v>217</v>
      </c>
      <c r="E27" s="6" t="s">
        <v>218</v>
      </c>
      <c r="F27" s="6" t="s">
        <v>88</v>
      </c>
      <c r="G27" s="6" t="s">
        <v>219</v>
      </c>
      <c r="H27" s="6" t="s">
        <v>220</v>
      </c>
      <c r="I27" s="6" t="s">
        <v>221</v>
      </c>
    </row>
    <row r="29" customFormat="false" ht="27.75" hidden="false" customHeight="true" outlineLevel="0" collapsed="false">
      <c r="A29" s="18" t="s">
        <v>222</v>
      </c>
      <c r="B29" s="19" t="s">
        <v>223</v>
      </c>
      <c r="C29" s="19"/>
      <c r="D29" s="19"/>
      <c r="E29" s="19"/>
      <c r="F29" s="19"/>
      <c r="G29" s="19"/>
      <c r="H29" s="19"/>
      <c r="I29" s="19"/>
    </row>
    <row r="30" customFormat="false" ht="25.5" hidden="false" customHeight="true" outlineLevel="0" collapsed="false">
      <c r="A30" s="18" t="s">
        <v>224</v>
      </c>
      <c r="B30" s="19" t="s">
        <v>225</v>
      </c>
      <c r="C30" s="19"/>
      <c r="D30" s="19"/>
      <c r="E30" s="19"/>
      <c r="F30" s="19"/>
      <c r="G30" s="19"/>
      <c r="H30" s="19"/>
      <c r="I30" s="19"/>
    </row>
    <row r="31" customFormat="false" ht="15" hidden="false" customHeight="true" outlineLevel="0" collapsed="false">
      <c r="A31" s="18" t="s">
        <v>226</v>
      </c>
      <c r="B31" s="19" t="s">
        <v>227</v>
      </c>
      <c r="C31" s="19"/>
      <c r="D31" s="19"/>
      <c r="E31" s="19"/>
      <c r="F31" s="19"/>
      <c r="G31" s="19"/>
      <c r="H31" s="19"/>
      <c r="I31" s="19"/>
    </row>
  </sheetData>
  <autoFilter ref="A4:I27"/>
  <mergeCells count="5">
    <mergeCell ref="A1:I1"/>
    <mergeCell ref="A2:I2"/>
    <mergeCell ref="B29:I29"/>
    <mergeCell ref="B30:I30"/>
    <mergeCell ref="B31:I31"/>
  </mergeCells>
  <conditionalFormatting sqref="A5:A27">
    <cfRule type="cellIs" priority="2" operator="equal" aboveAverage="0" equalAverage="0" bottom="0" percent="0" rank="0" text="" dxfId="3">
      <formula>"MISSING - MANDATORY"</formula>
    </cfRule>
    <cfRule type="cellIs" priority="3" operator="equal" aboveAverage="0" equalAverage="0" bottom="0" percent="0" rank="0" text="" dxfId="12">
      <formula>"PRESENT"</formula>
    </cfRule>
  </conditionalFormatting>
  <printOptions headings="false" gridLines="false" gridLinesSet="true" horizontalCentered="tru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WSAE | CE-018 | Rev 3.1 | Cut-off 2026-03-31&amp;R&amp;8 Page &amp;P of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3" min="3" style="0" width="13"/>
    <col collapsed="false" customWidth="true" hidden="false" outlineLevel="0" max="4" min="4" style="0" width="30"/>
    <col collapsed="false" customWidth="true" hidden="false" outlineLevel="0" max="5" min="5" style="0" width="12"/>
    <col collapsed="false" customWidth="true" hidden="false" outlineLevel="0" max="6" min="6" style="0" width="26"/>
    <col collapsed="false" customWidth="true" hidden="false" outlineLevel="0" max="7" min="7" style="0" width="44"/>
    <col collapsed="false" customWidth="true" hidden="false" outlineLevel="0" max="8" min="8" style="0" width="30"/>
    <col collapsed="false" customWidth="true" hidden="false" outlineLevel="0" max="11" min="9" style="0" width="14"/>
    <col collapsed="false" customWidth="true" hidden="false" outlineLevel="0" max="13" min="12" style="0" width="12"/>
    <col collapsed="false" customWidth="true" hidden="false" outlineLevel="0" max="14" min="14" style="0" width="34"/>
  </cols>
  <sheetData>
    <row r="1" customFormat="false" ht="24" hidden="false" customHeight="true" outlineLevel="0" collapsed="false">
      <c r="A1" s="15" t="s">
        <v>228</v>
      </c>
      <c r="B1" s="15"/>
      <c r="C1" s="15"/>
      <c r="D1" s="15"/>
      <c r="E1" s="15"/>
      <c r="F1" s="15"/>
      <c r="G1" s="15"/>
      <c r="H1" s="15"/>
      <c r="I1" s="15"/>
      <c r="J1" s="15"/>
      <c r="K1" s="15"/>
      <c r="L1" s="15"/>
      <c r="M1" s="15"/>
      <c r="N1" s="15"/>
    </row>
    <row r="2" customFormat="false" ht="15" hidden="false" customHeight="false" outlineLevel="0" collapsed="false">
      <c r="A2" s="16" t="s">
        <v>229</v>
      </c>
      <c r="B2" s="16"/>
      <c r="C2" s="16"/>
      <c r="D2" s="16"/>
      <c r="E2" s="16"/>
      <c r="F2" s="16"/>
      <c r="G2" s="16"/>
      <c r="H2" s="16"/>
      <c r="I2" s="16"/>
      <c r="J2" s="16"/>
      <c r="K2" s="16"/>
      <c r="L2" s="16"/>
      <c r="M2" s="16"/>
      <c r="N2" s="16"/>
    </row>
    <row r="4" customFormat="false" ht="30" hidden="false" customHeight="true" outlineLevel="0" collapsed="false">
      <c r="A4" s="17" t="s">
        <v>230</v>
      </c>
      <c r="B4" s="17" t="s">
        <v>231</v>
      </c>
      <c r="C4" s="17" t="s">
        <v>232</v>
      </c>
      <c r="D4" s="17" t="s">
        <v>233</v>
      </c>
      <c r="E4" s="17" t="s">
        <v>234</v>
      </c>
      <c r="F4" s="17" t="s">
        <v>235</v>
      </c>
      <c r="G4" s="17" t="s">
        <v>236</v>
      </c>
      <c r="H4" s="17" t="s">
        <v>237</v>
      </c>
      <c r="I4" s="17" t="s">
        <v>238</v>
      </c>
      <c r="J4" s="17" t="s">
        <v>239</v>
      </c>
      <c r="K4" s="17" t="s">
        <v>240</v>
      </c>
      <c r="L4" s="17" t="s">
        <v>241</v>
      </c>
      <c r="M4" s="17" t="s">
        <v>242</v>
      </c>
      <c r="N4" s="17" t="s">
        <v>243</v>
      </c>
    </row>
    <row r="5" customFormat="false" ht="45.75" hidden="false" customHeight="true" outlineLevel="0" collapsed="false">
      <c r="A5" s="6" t="s">
        <v>244</v>
      </c>
      <c r="B5" s="6" t="s">
        <v>245</v>
      </c>
      <c r="C5" s="6" t="s">
        <v>246</v>
      </c>
      <c r="D5" s="6" t="s">
        <v>247</v>
      </c>
      <c r="E5" s="6" t="s">
        <v>248</v>
      </c>
      <c r="F5" s="6" t="s">
        <v>249</v>
      </c>
      <c r="G5" s="6" t="s">
        <v>250</v>
      </c>
      <c r="H5" s="20" t="s">
        <v>251</v>
      </c>
      <c r="I5" s="21" t="n">
        <v>25000</v>
      </c>
      <c r="J5" s="21" t="n">
        <v>25000</v>
      </c>
      <c r="K5" s="21" t="n">
        <v>25000</v>
      </c>
      <c r="L5" s="21" t="n">
        <f aca="false">J5-K5</f>
        <v>0</v>
      </c>
      <c r="M5" s="6" t="n">
        <v>10</v>
      </c>
      <c r="N5" s="6" t="s">
        <v>252</v>
      </c>
    </row>
    <row r="6" customFormat="false" ht="45.75" hidden="false" customHeight="true" outlineLevel="0" collapsed="false">
      <c r="A6" s="6" t="s">
        <v>253</v>
      </c>
      <c r="B6" s="6" t="s">
        <v>254</v>
      </c>
      <c r="C6" s="6" t="s">
        <v>255</v>
      </c>
      <c r="D6" s="6" t="s">
        <v>256</v>
      </c>
      <c r="E6" s="6" t="s">
        <v>257</v>
      </c>
      <c r="F6" s="6" t="s">
        <v>258</v>
      </c>
      <c r="G6" s="6" t="s">
        <v>259</v>
      </c>
      <c r="H6" s="20" t="s">
        <v>251</v>
      </c>
      <c r="I6" s="21" t="n">
        <v>55000</v>
      </c>
      <c r="J6" s="21" t="n">
        <v>55000</v>
      </c>
      <c r="K6" s="21" t="n">
        <v>55000</v>
      </c>
      <c r="L6" s="21" t="n">
        <f aca="false">J6-K6</f>
        <v>0</v>
      </c>
      <c r="M6" s="6" t="n">
        <v>10</v>
      </c>
      <c r="N6" s="6" t="s">
        <v>252</v>
      </c>
    </row>
    <row r="7" customFormat="false" ht="45.75" hidden="false" customHeight="true" outlineLevel="0" collapsed="false">
      <c r="A7" s="6" t="s">
        <v>253</v>
      </c>
      <c r="B7" s="6" t="s">
        <v>254</v>
      </c>
      <c r="C7" s="6" t="s">
        <v>255</v>
      </c>
      <c r="D7" s="6" t="s">
        <v>256</v>
      </c>
      <c r="E7" s="6" t="s">
        <v>260</v>
      </c>
      <c r="F7" s="6" t="s">
        <v>261</v>
      </c>
      <c r="G7" s="6" t="s">
        <v>259</v>
      </c>
      <c r="H7" s="20" t="s">
        <v>251</v>
      </c>
      <c r="I7" s="21" t="n">
        <v>35000</v>
      </c>
      <c r="J7" s="21" t="n">
        <v>35000</v>
      </c>
      <c r="K7" s="21" t="n">
        <v>35000</v>
      </c>
      <c r="L7" s="21" t="n">
        <f aca="false">J7-K7</f>
        <v>0</v>
      </c>
      <c r="M7" s="6" t="n">
        <v>10</v>
      </c>
      <c r="N7" s="6" t="s">
        <v>252</v>
      </c>
    </row>
    <row r="8" customFormat="false" ht="45.75" hidden="false" customHeight="true" outlineLevel="0" collapsed="false">
      <c r="A8" s="6" t="s">
        <v>262</v>
      </c>
      <c r="B8" s="6" t="s">
        <v>263</v>
      </c>
      <c r="C8" s="6" t="s">
        <v>264</v>
      </c>
      <c r="D8" s="6" t="s">
        <v>265</v>
      </c>
      <c r="E8" s="6" t="s">
        <v>266</v>
      </c>
      <c r="F8" s="6" t="s">
        <v>267</v>
      </c>
      <c r="G8" s="6" t="s">
        <v>268</v>
      </c>
      <c r="H8" s="20" t="s">
        <v>251</v>
      </c>
      <c r="I8" s="21" t="n">
        <v>50000</v>
      </c>
      <c r="J8" s="21" t="n">
        <v>50000</v>
      </c>
      <c r="K8" s="21" t="n">
        <v>50000</v>
      </c>
      <c r="L8" s="21" t="n">
        <f aca="false">J8-K8</f>
        <v>0</v>
      </c>
      <c r="M8" s="6" t="n">
        <v>10</v>
      </c>
      <c r="N8" s="6" t="s">
        <v>269</v>
      </c>
    </row>
    <row r="9" customFormat="false" ht="45.75" hidden="false" customHeight="true" outlineLevel="0" collapsed="false">
      <c r="A9" s="6" t="s">
        <v>270</v>
      </c>
      <c r="B9" s="6" t="s">
        <v>271</v>
      </c>
      <c r="C9" s="6" t="s">
        <v>272</v>
      </c>
      <c r="D9" s="6" t="s">
        <v>273</v>
      </c>
      <c r="E9" s="6" t="s">
        <v>274</v>
      </c>
      <c r="F9" s="6" t="s">
        <v>275</v>
      </c>
      <c r="G9" s="6" t="s">
        <v>276</v>
      </c>
      <c r="H9" s="20" t="s">
        <v>251</v>
      </c>
      <c r="I9" s="21" t="n">
        <v>20000</v>
      </c>
      <c r="J9" s="21" t="n">
        <v>20000</v>
      </c>
      <c r="K9" s="21" t="n">
        <v>20000</v>
      </c>
      <c r="L9" s="21" t="n">
        <f aca="false">J9-K9</f>
        <v>0</v>
      </c>
      <c r="M9" s="6" t="n">
        <v>10</v>
      </c>
      <c r="N9" s="6" t="s">
        <v>277</v>
      </c>
    </row>
    <row r="10" customFormat="false" ht="46.25" hidden="false" customHeight="false" outlineLevel="0" collapsed="false">
      <c r="A10" s="18" t="s">
        <v>278</v>
      </c>
      <c r="I10" s="22" t="n">
        <f aca="false">SUM(I5:I9)</f>
        <v>185000</v>
      </c>
      <c r="J10" s="22" t="n">
        <f aca="false">SUM(J5:J9)</f>
        <v>185000</v>
      </c>
      <c r="K10" s="22" t="n">
        <f aca="false">SUM(K5:K9)</f>
        <v>185000</v>
      </c>
      <c r="L10" s="22" t="n">
        <f aca="false">SUM(L5:L9)</f>
        <v>0</v>
      </c>
      <c r="N10" s="23" t="s">
        <v>279</v>
      </c>
    </row>
    <row r="12" customFormat="false" ht="15" hidden="false" customHeight="false" outlineLevel="0" collapsed="false">
      <c r="A12" s="18" t="s">
        <v>280</v>
      </c>
    </row>
    <row r="13" customFormat="false" ht="30" hidden="false" customHeight="true" outlineLevel="0" collapsed="false">
      <c r="A13" s="17" t="s">
        <v>281</v>
      </c>
      <c r="B13" s="17" t="s">
        <v>75</v>
      </c>
      <c r="C13" s="17" t="s">
        <v>78</v>
      </c>
      <c r="D13" s="17" t="s">
        <v>282</v>
      </c>
      <c r="E13" s="17" t="s">
        <v>283</v>
      </c>
      <c r="F13" s="17"/>
      <c r="G13" s="17"/>
      <c r="H13" s="17"/>
      <c r="I13" s="17"/>
      <c r="J13" s="17"/>
      <c r="K13" s="17"/>
      <c r="L13" s="17"/>
      <c r="M13" s="17"/>
      <c r="N13" s="17"/>
    </row>
    <row r="14" customFormat="false" ht="23.85" hidden="false" customHeight="false" outlineLevel="0" collapsed="false">
      <c r="A14" s="6" t="s">
        <v>284</v>
      </c>
      <c r="B14" s="6" t="s">
        <v>180</v>
      </c>
      <c r="C14" s="6" t="s">
        <v>183</v>
      </c>
      <c r="D14" s="6" t="s">
        <v>285</v>
      </c>
      <c r="E14" s="6" t="s">
        <v>286</v>
      </c>
    </row>
    <row r="15" customFormat="false" ht="35.05" hidden="false" customHeight="false" outlineLevel="0" collapsed="false">
      <c r="A15" s="6" t="s">
        <v>190</v>
      </c>
      <c r="B15" s="6" t="s">
        <v>188</v>
      </c>
      <c r="C15" s="6" t="s">
        <v>191</v>
      </c>
      <c r="D15" s="20" t="s">
        <v>251</v>
      </c>
      <c r="E15" s="20" t="s">
        <v>251</v>
      </c>
    </row>
    <row r="16" customFormat="false" ht="23.85" hidden="false" customHeight="false" outlineLevel="0" collapsed="false">
      <c r="A16" s="6" t="s">
        <v>287</v>
      </c>
      <c r="B16" s="6" t="s">
        <v>195</v>
      </c>
      <c r="C16" s="6" t="s">
        <v>198</v>
      </c>
      <c r="D16" s="6" t="s">
        <v>288</v>
      </c>
      <c r="E16" s="6" t="s">
        <v>289</v>
      </c>
    </row>
    <row r="17" customFormat="false" ht="23.85" hidden="false" customHeight="false" outlineLevel="0" collapsed="false">
      <c r="A17" s="6" t="s">
        <v>290</v>
      </c>
      <c r="B17" s="6" t="s">
        <v>202</v>
      </c>
      <c r="C17" s="6" t="s">
        <v>205</v>
      </c>
      <c r="D17" s="6" t="s">
        <v>291</v>
      </c>
      <c r="E17" s="6" t="s">
        <v>289</v>
      </c>
    </row>
    <row r="18" customFormat="false" ht="15" hidden="false" customHeight="false" outlineLevel="0" collapsed="false">
      <c r="A18" s="6" t="s">
        <v>210</v>
      </c>
      <c r="B18" s="6" t="s">
        <v>208</v>
      </c>
      <c r="C18" s="6" t="s">
        <v>211</v>
      </c>
      <c r="D18" s="6" t="s">
        <v>291</v>
      </c>
      <c r="E18" s="6" t="s">
        <v>289</v>
      </c>
    </row>
    <row r="19" customFormat="false" ht="23.85" hidden="false" customHeight="false" outlineLevel="0" collapsed="false">
      <c r="A19" s="6" t="s">
        <v>217</v>
      </c>
      <c r="B19" s="6" t="s">
        <v>215</v>
      </c>
      <c r="C19" s="6" t="s">
        <v>218</v>
      </c>
      <c r="D19" s="6" t="s">
        <v>291</v>
      </c>
      <c r="E19" s="6" t="s">
        <v>289</v>
      </c>
    </row>
    <row r="20" customFormat="false" ht="15" hidden="false" customHeight="false" outlineLevel="0" collapsed="false">
      <c r="A20" s="6" t="s">
        <v>143</v>
      </c>
      <c r="B20" s="6" t="s">
        <v>141</v>
      </c>
      <c r="C20" s="6" t="s">
        <v>144</v>
      </c>
      <c r="D20" s="6" t="s">
        <v>291</v>
      </c>
      <c r="E20" s="6" t="s">
        <v>289</v>
      </c>
    </row>
    <row r="22" customFormat="false" ht="15" hidden="false" customHeight="false" outlineLevel="0" collapsed="false">
      <c r="A22" s="18" t="s">
        <v>292</v>
      </c>
    </row>
    <row r="23" customFormat="false" ht="15" hidden="false" customHeight="true" outlineLevel="0" collapsed="false">
      <c r="A23" s="24" t="s">
        <v>293</v>
      </c>
      <c r="B23" s="19" t="s">
        <v>294</v>
      </c>
      <c r="C23" s="19"/>
      <c r="D23" s="19"/>
      <c r="E23" s="19"/>
      <c r="F23" s="19"/>
      <c r="G23" s="19"/>
      <c r="H23" s="19"/>
      <c r="I23" s="19"/>
      <c r="J23" s="19"/>
      <c r="K23" s="19"/>
      <c r="L23" s="19"/>
      <c r="M23" s="19"/>
      <c r="N23" s="19"/>
    </row>
    <row r="24" customFormat="false" ht="15" hidden="false" customHeight="true" outlineLevel="0" collapsed="false">
      <c r="A24" s="24" t="s">
        <v>295</v>
      </c>
      <c r="B24" s="19" t="s">
        <v>296</v>
      </c>
      <c r="C24" s="19"/>
      <c r="D24" s="19"/>
      <c r="E24" s="19"/>
      <c r="F24" s="19"/>
      <c r="G24" s="19"/>
      <c r="H24" s="19"/>
      <c r="I24" s="19"/>
      <c r="J24" s="19"/>
      <c r="K24" s="19"/>
      <c r="L24" s="19"/>
      <c r="M24" s="19"/>
      <c r="N24" s="19"/>
    </row>
    <row r="25" customFormat="false" ht="15" hidden="false" customHeight="true" outlineLevel="0" collapsed="false">
      <c r="A25" s="24" t="s">
        <v>297</v>
      </c>
      <c r="B25" s="19" t="s">
        <v>298</v>
      </c>
      <c r="C25" s="19"/>
      <c r="D25" s="19"/>
      <c r="E25" s="19"/>
      <c r="F25" s="19"/>
      <c r="G25" s="19"/>
      <c r="H25" s="19"/>
      <c r="I25" s="19"/>
      <c r="J25" s="19"/>
      <c r="K25" s="19"/>
      <c r="L25" s="19"/>
      <c r="M25" s="19"/>
      <c r="N25" s="19"/>
    </row>
    <row r="26" customFormat="false" ht="15" hidden="false" customHeight="true" outlineLevel="0" collapsed="false">
      <c r="A26" s="24" t="s">
        <v>299</v>
      </c>
      <c r="B26" s="19" t="s">
        <v>300</v>
      </c>
      <c r="C26" s="19"/>
      <c r="D26" s="19"/>
      <c r="E26" s="19"/>
      <c r="F26" s="19"/>
      <c r="G26" s="19"/>
      <c r="H26" s="19"/>
      <c r="I26" s="19"/>
      <c r="J26" s="19"/>
      <c r="K26" s="19"/>
      <c r="L26" s="19"/>
      <c r="M26" s="19"/>
      <c r="N26" s="19"/>
    </row>
    <row r="27" customFormat="false" ht="15" hidden="false" customHeight="true" outlineLevel="0" collapsed="false">
      <c r="A27" s="24" t="s">
        <v>301</v>
      </c>
      <c r="B27" s="19" t="s">
        <v>302</v>
      </c>
      <c r="C27" s="19"/>
      <c r="D27" s="19"/>
      <c r="E27" s="19"/>
      <c r="F27" s="19"/>
      <c r="G27" s="19"/>
      <c r="H27" s="19"/>
      <c r="I27" s="19"/>
      <c r="J27" s="19"/>
      <c r="K27" s="19"/>
      <c r="L27" s="19"/>
      <c r="M27" s="19"/>
      <c r="N27" s="19"/>
    </row>
    <row r="28" customFormat="false" ht="15" hidden="false" customHeight="true" outlineLevel="0" collapsed="false">
      <c r="A28" s="24" t="s">
        <v>303</v>
      </c>
      <c r="B28" s="19" t="s">
        <v>304</v>
      </c>
      <c r="C28" s="19"/>
      <c r="D28" s="19"/>
      <c r="E28" s="19"/>
      <c r="F28" s="19"/>
      <c r="G28" s="19"/>
      <c r="H28" s="19"/>
      <c r="I28" s="19"/>
      <c r="J28" s="19"/>
      <c r="K28" s="19"/>
      <c r="L28" s="19"/>
      <c r="M28" s="19"/>
      <c r="N28" s="19"/>
    </row>
    <row r="29" customFormat="false" ht="15" hidden="false" customHeight="true" outlineLevel="0" collapsed="false">
      <c r="A29" s="24" t="s">
        <v>305</v>
      </c>
      <c r="B29" s="19" t="s">
        <v>306</v>
      </c>
      <c r="C29" s="19"/>
      <c r="D29" s="19"/>
      <c r="E29" s="19"/>
      <c r="F29" s="19"/>
      <c r="G29" s="19"/>
      <c r="H29" s="19"/>
      <c r="I29" s="19"/>
      <c r="J29" s="19"/>
      <c r="K29" s="19"/>
      <c r="L29" s="19"/>
      <c r="M29" s="19"/>
      <c r="N29" s="19"/>
    </row>
    <row r="31" customFormat="false" ht="15" hidden="false" customHeight="false" outlineLevel="0" collapsed="false">
      <c r="A31" s="18" t="s">
        <v>307</v>
      </c>
    </row>
    <row r="32" customFormat="false" ht="15" hidden="false" customHeight="true" outlineLevel="0" collapsed="false">
      <c r="A32" s="19" t="s">
        <v>308</v>
      </c>
      <c r="B32" s="19"/>
      <c r="C32" s="19"/>
      <c r="D32" s="19"/>
      <c r="E32" s="19"/>
      <c r="F32" s="19"/>
      <c r="G32" s="19"/>
      <c r="H32" s="19"/>
      <c r="I32" s="19"/>
      <c r="J32" s="19"/>
      <c r="K32" s="19"/>
      <c r="L32" s="19"/>
      <c r="M32" s="19"/>
      <c r="N32" s="19"/>
    </row>
    <row r="33" customFormat="false" ht="15" hidden="false" customHeight="true" outlineLevel="0" collapsed="false">
      <c r="A33" s="19" t="s">
        <v>309</v>
      </c>
      <c r="B33" s="19"/>
      <c r="C33" s="19"/>
      <c r="D33" s="19"/>
      <c r="E33" s="19"/>
      <c r="F33" s="19"/>
      <c r="G33" s="19"/>
      <c r="H33" s="19"/>
      <c r="I33" s="19"/>
      <c r="J33" s="19"/>
      <c r="K33" s="19"/>
      <c r="L33" s="19"/>
      <c r="M33" s="19"/>
      <c r="N33" s="19"/>
    </row>
    <row r="34" customFormat="false" ht="15" hidden="false" customHeight="true" outlineLevel="0" collapsed="false">
      <c r="A34" s="19" t="s">
        <v>310</v>
      </c>
      <c r="B34" s="19"/>
      <c r="C34" s="19"/>
      <c r="D34" s="19"/>
      <c r="E34" s="19"/>
      <c r="F34" s="19"/>
      <c r="G34" s="19"/>
      <c r="H34" s="19"/>
      <c r="I34" s="19"/>
      <c r="J34" s="19"/>
      <c r="K34" s="19"/>
      <c r="L34" s="19"/>
      <c r="M34" s="19"/>
      <c r="N34" s="19"/>
    </row>
    <row r="35" customFormat="false" ht="15" hidden="false" customHeight="true" outlineLevel="0" collapsed="false">
      <c r="A35" s="19" t="s">
        <v>311</v>
      </c>
      <c r="B35" s="19"/>
      <c r="C35" s="19"/>
      <c r="D35" s="19"/>
      <c r="E35" s="19"/>
      <c r="F35" s="19"/>
      <c r="G35" s="19"/>
      <c r="H35" s="19"/>
      <c r="I35" s="19"/>
      <c r="J35" s="19"/>
      <c r="K35" s="19"/>
      <c r="L35" s="19"/>
      <c r="M35" s="19"/>
      <c r="N35" s="19"/>
    </row>
    <row r="36" customFormat="false" ht="15" hidden="false" customHeight="true" outlineLevel="0" collapsed="false">
      <c r="A36" s="19" t="s">
        <v>312</v>
      </c>
      <c r="B36" s="19"/>
      <c r="C36" s="19"/>
      <c r="D36" s="19"/>
      <c r="E36" s="19"/>
      <c r="F36" s="19"/>
      <c r="G36" s="19"/>
      <c r="H36" s="19"/>
      <c r="I36" s="19"/>
      <c r="J36" s="19"/>
      <c r="K36" s="19"/>
      <c r="L36" s="19"/>
      <c r="M36" s="19"/>
      <c r="N36" s="19"/>
    </row>
  </sheetData>
  <mergeCells count="14">
    <mergeCell ref="A1:N1"/>
    <mergeCell ref="A2:N2"/>
    <mergeCell ref="B23:N23"/>
    <mergeCell ref="B24:N24"/>
    <mergeCell ref="B25:N25"/>
    <mergeCell ref="B26:N26"/>
    <mergeCell ref="B27:N27"/>
    <mergeCell ref="B28:N28"/>
    <mergeCell ref="B29:N29"/>
    <mergeCell ref="A32:N32"/>
    <mergeCell ref="A33:N33"/>
    <mergeCell ref="A34:N34"/>
    <mergeCell ref="A35:N35"/>
    <mergeCell ref="A36:N36"/>
  </mergeCells>
  <printOptions headings="false" gridLines="false" gridLinesSet="true" horizontalCentered="tru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WSAE | CE-018 | Rev 3.1 | Cut-off 2026-03-31&amp;R&amp;8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38"/>
    <col collapsed="false" customWidth="true" hidden="false" outlineLevel="0" max="4" min="4" style="0" width="7"/>
    <col collapsed="false" customWidth="true" hidden="false" outlineLevel="0" max="5" min="5" style="0" width="15"/>
    <col collapsed="false" customWidth="true" hidden="false" outlineLevel="0" max="6" min="6" style="0" width="74"/>
    <col collapsed="false" customWidth="true" hidden="false" outlineLevel="0" max="7" min="7" style="0" width="44"/>
    <col collapsed="false" customWidth="true" hidden="false" outlineLevel="0" max="8" min="8" style="0" width="10"/>
    <col collapsed="false" customWidth="true" hidden="false" outlineLevel="0" max="9" min="9" style="0" width="40"/>
    <col collapsed="false" customWidth="true" hidden="false" outlineLevel="0" max="10" min="10" style="0" width="34"/>
  </cols>
  <sheetData>
    <row r="1" customFormat="false" ht="24" hidden="false" customHeight="true" outlineLevel="0" collapsed="false">
      <c r="A1" s="15" t="s">
        <v>313</v>
      </c>
      <c r="B1" s="15"/>
      <c r="C1" s="15"/>
      <c r="D1" s="15"/>
      <c r="E1" s="15"/>
      <c r="F1" s="15"/>
      <c r="G1" s="15"/>
      <c r="H1" s="15"/>
      <c r="I1" s="15"/>
      <c r="J1" s="15"/>
    </row>
    <row r="2" customFormat="false" ht="15" hidden="false" customHeight="false" outlineLevel="0" collapsed="false">
      <c r="A2" s="16" t="s">
        <v>314</v>
      </c>
      <c r="B2" s="16"/>
      <c r="C2" s="16"/>
      <c r="D2" s="16"/>
      <c r="E2" s="16"/>
      <c r="F2" s="16"/>
      <c r="G2" s="16"/>
      <c r="H2" s="16"/>
      <c r="I2" s="16"/>
      <c r="J2" s="16"/>
    </row>
    <row r="4" customFormat="false" ht="30" hidden="false" customHeight="true" outlineLevel="0" collapsed="false">
      <c r="A4" s="17" t="s">
        <v>315</v>
      </c>
      <c r="B4" s="17" t="s">
        <v>316</v>
      </c>
      <c r="C4" s="17" t="s">
        <v>317</v>
      </c>
      <c r="D4" s="17" t="s">
        <v>318</v>
      </c>
      <c r="E4" s="17" t="s">
        <v>74</v>
      </c>
      <c r="F4" s="17" t="s">
        <v>319</v>
      </c>
      <c r="G4" s="17" t="s">
        <v>320</v>
      </c>
      <c r="H4" s="17" t="s">
        <v>321</v>
      </c>
      <c r="I4" s="17" t="s">
        <v>322</v>
      </c>
      <c r="J4" s="17" t="s">
        <v>323</v>
      </c>
    </row>
    <row r="5" customFormat="false" ht="109.5" hidden="false" customHeight="true" outlineLevel="0" collapsed="false">
      <c r="A5" s="6" t="s">
        <v>324</v>
      </c>
      <c r="B5" s="6" t="s">
        <v>325</v>
      </c>
      <c r="C5" s="6" t="s">
        <v>326</v>
      </c>
      <c r="D5" s="25" t="n">
        <v>0</v>
      </c>
      <c r="E5" s="6" t="s">
        <v>327</v>
      </c>
      <c r="F5" s="6" t="s">
        <v>328</v>
      </c>
      <c r="G5" s="6" t="s">
        <v>329</v>
      </c>
      <c r="H5" s="26" t="str">
        <f aca="false">IF(D5=0,"YES","NO")</f>
        <v>YES</v>
      </c>
      <c r="I5" s="6" t="s">
        <v>330</v>
      </c>
      <c r="J5" s="6" t="s">
        <v>331</v>
      </c>
    </row>
    <row r="6" customFormat="false" ht="109.5" hidden="false" customHeight="true" outlineLevel="0" collapsed="false">
      <c r="A6" s="6" t="s">
        <v>332</v>
      </c>
      <c r="B6" s="6" t="s">
        <v>333</v>
      </c>
      <c r="C6" s="6" t="s">
        <v>334</v>
      </c>
      <c r="D6" s="25" t="n">
        <v>0</v>
      </c>
      <c r="E6" s="6" t="s">
        <v>327</v>
      </c>
      <c r="F6" s="6" t="s">
        <v>335</v>
      </c>
      <c r="G6" s="6" t="s">
        <v>336</v>
      </c>
      <c r="H6" s="26" t="str">
        <f aca="false">IF(D6=0,"YES","NO")</f>
        <v>YES</v>
      </c>
      <c r="I6" s="6" t="s">
        <v>337</v>
      </c>
      <c r="J6" s="6" t="s">
        <v>338</v>
      </c>
    </row>
    <row r="7" customFormat="false" ht="109.5" hidden="false" customHeight="true" outlineLevel="0" collapsed="false">
      <c r="A7" s="6" t="s">
        <v>339</v>
      </c>
      <c r="B7" s="6" t="s">
        <v>340</v>
      </c>
      <c r="C7" s="6" t="s">
        <v>341</v>
      </c>
      <c r="D7" s="25" t="n">
        <v>0</v>
      </c>
      <c r="E7" s="6" t="s">
        <v>327</v>
      </c>
      <c r="F7" s="6" t="s">
        <v>342</v>
      </c>
      <c r="G7" s="6" t="s">
        <v>343</v>
      </c>
      <c r="H7" s="26" t="str">
        <f aca="false">IF(D7=0,"YES","NO")</f>
        <v>YES</v>
      </c>
      <c r="I7" s="6" t="s">
        <v>344</v>
      </c>
      <c r="J7" s="6" t="s">
        <v>345</v>
      </c>
    </row>
    <row r="8" customFormat="false" ht="109.5" hidden="false" customHeight="true" outlineLevel="0" collapsed="false">
      <c r="A8" s="6" t="s">
        <v>346</v>
      </c>
      <c r="B8" s="6" t="s">
        <v>347</v>
      </c>
      <c r="C8" s="6" t="s">
        <v>348</v>
      </c>
      <c r="D8" s="25" t="n">
        <v>2</v>
      </c>
      <c r="E8" s="6" t="s">
        <v>349</v>
      </c>
      <c r="F8" s="6" t="s">
        <v>350</v>
      </c>
      <c r="G8" s="6" t="s">
        <v>351</v>
      </c>
      <c r="H8" s="26" t="str">
        <f aca="false">IF(D8=0,"YES","NO")</f>
        <v>NO</v>
      </c>
      <c r="I8" s="6" t="s">
        <v>352</v>
      </c>
      <c r="J8" s="6" t="s">
        <v>353</v>
      </c>
    </row>
    <row r="10" customFormat="false" ht="15" hidden="false" customHeight="false" outlineLevel="0" collapsed="false">
      <c r="A10" s="18" t="s">
        <v>354</v>
      </c>
      <c r="D10" s="27" t="n">
        <f aca="false">SUM(D5:D8)</f>
        <v>2</v>
      </c>
      <c r="F10" s="24" t="s">
        <v>355</v>
      </c>
    </row>
    <row r="11" customFormat="false" ht="15" hidden="false" customHeight="false" outlineLevel="0" collapsed="false">
      <c r="A11" s="18" t="s">
        <v>356</v>
      </c>
      <c r="D11" s="28" t="n">
        <f aca="false">COUNTIF(D5:D8,0)</f>
        <v>3</v>
      </c>
      <c r="F11" s="24" t="s">
        <v>357</v>
      </c>
    </row>
    <row r="13" customFormat="false" ht="15" hidden="false" customHeight="false" outlineLevel="0" collapsed="false">
      <c r="A13" s="29" t="s">
        <v>358</v>
      </c>
    </row>
  </sheetData>
  <mergeCells count="2">
    <mergeCell ref="A1:J1"/>
    <mergeCell ref="A2:J2"/>
  </mergeCells>
  <conditionalFormatting sqref="D5:D8">
    <cfRule type="cellIs" priority="2" operator="equal" aboveAverage="0" equalAverage="0" bottom="0" percent="0" rank="0" text="" dxfId="13">
      <formula>2</formula>
    </cfRule>
    <cfRule type="cellIs" priority="3" operator="equal" aboveAverage="0" equalAverage="0" bottom="0" percent="0" rank="0" text="" dxfId="14">
      <formula>1</formula>
    </cfRule>
    <cfRule type="cellIs" priority="4" operator="equal" aboveAverage="0" equalAverage="0" bottom="0" percent="0" rank="0" text="" dxfId="15">
      <formula>0</formula>
    </cfRule>
  </conditionalFormatting>
  <conditionalFormatting sqref="H5:H8">
    <cfRule type="cellIs" priority="5" operator="equal" aboveAverage="0" equalAverage="0" bottom="0" percent="0" rank="0" text="" dxfId="3">
      <formula>"YES"</formula>
    </cfRule>
  </conditionalFormatting>
  <dataValidations count="1">
    <dataValidation allowBlank="false" errorStyle="stop" operator="between" showDropDown="false" showErrorMessage="false" showInputMessage="false" sqref="D5:D8" type="list">
      <formula1>"0,1,2"</formula1>
      <formula2>0</formula2>
    </dataValidation>
  </dataValidations>
  <printOptions headings="false" gridLines="false" gridLinesSet="true" horizontalCentered="tru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WSAE | CE-018 | Rev 3.1 | Cut-off 2026-03-31&amp;R&amp;8 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20"/>
    <col collapsed="false" customWidth="true" hidden="false" outlineLevel="0" max="4" min="4" style="0" width="11"/>
    <col collapsed="false" customWidth="true" hidden="false" outlineLevel="0" max="5" min="5" style="0" width="46"/>
    <col collapsed="false" customWidth="true" hidden="false" outlineLevel="0" max="6" min="6" style="0" width="44"/>
    <col collapsed="false" customWidth="true" hidden="false" outlineLevel="0" max="7" min="7" style="0" width="26"/>
    <col collapsed="false" customWidth="true" hidden="false" outlineLevel="0" max="8" min="8" style="0" width="66"/>
    <col collapsed="false" customWidth="true" hidden="false" outlineLevel="0" max="9" min="9" style="0" width="44"/>
    <col collapsed="false" customWidth="true" hidden="false" outlineLevel="0" max="10" min="10" style="0" width="30"/>
  </cols>
  <sheetData>
    <row r="1" customFormat="false" ht="24" hidden="false" customHeight="true" outlineLevel="0" collapsed="false">
      <c r="A1" s="15" t="s">
        <v>359</v>
      </c>
      <c r="B1" s="15"/>
      <c r="C1" s="15"/>
      <c r="D1" s="15"/>
      <c r="E1" s="15"/>
      <c r="F1" s="15"/>
      <c r="G1" s="15"/>
      <c r="H1" s="15"/>
      <c r="I1" s="15"/>
      <c r="J1" s="15"/>
    </row>
    <row r="2" customFormat="false" ht="15" hidden="false" customHeight="false" outlineLevel="0" collapsed="false">
      <c r="A2" s="16" t="s">
        <v>360</v>
      </c>
      <c r="B2" s="16"/>
      <c r="C2" s="16"/>
      <c r="D2" s="16"/>
      <c r="E2" s="16"/>
      <c r="F2" s="16"/>
      <c r="G2" s="16"/>
      <c r="H2" s="16"/>
      <c r="I2" s="16"/>
      <c r="J2" s="16"/>
    </row>
    <row r="4" customFormat="false" ht="30" hidden="false" customHeight="true" outlineLevel="0" collapsed="false">
      <c r="A4" s="17" t="s">
        <v>361</v>
      </c>
      <c r="B4" s="17" t="s">
        <v>362</v>
      </c>
      <c r="C4" s="17" t="s">
        <v>363</v>
      </c>
      <c r="D4" s="17" t="s">
        <v>364</v>
      </c>
      <c r="E4" s="17" t="s">
        <v>365</v>
      </c>
      <c r="F4" s="17" t="s">
        <v>366</v>
      </c>
      <c r="G4" s="17" t="s">
        <v>367</v>
      </c>
      <c r="H4" s="17" t="s">
        <v>319</v>
      </c>
      <c r="I4" s="17" t="s">
        <v>322</v>
      </c>
      <c r="J4" s="17" t="s">
        <v>368</v>
      </c>
    </row>
    <row r="5" customFormat="false" ht="96" hidden="false" customHeight="true" outlineLevel="0" collapsed="false">
      <c r="A5" s="6" t="s">
        <v>369</v>
      </c>
      <c r="B5" s="6" t="s">
        <v>370</v>
      </c>
      <c r="C5" s="6" t="s">
        <v>371</v>
      </c>
      <c r="D5" s="6" t="s">
        <v>372</v>
      </c>
      <c r="E5" s="6" t="s">
        <v>373</v>
      </c>
      <c r="F5" s="6" t="s">
        <v>374</v>
      </c>
      <c r="G5" s="6" t="s">
        <v>375</v>
      </c>
      <c r="H5" s="6" t="s">
        <v>376</v>
      </c>
      <c r="I5" s="6" t="s">
        <v>377</v>
      </c>
      <c r="J5" s="6" t="s">
        <v>27</v>
      </c>
    </row>
    <row r="6" customFormat="false" ht="96" hidden="false" customHeight="true" outlineLevel="0" collapsed="false">
      <c r="A6" s="6" t="s">
        <v>378</v>
      </c>
      <c r="B6" s="6" t="s">
        <v>379</v>
      </c>
      <c r="C6" s="6" t="s">
        <v>380</v>
      </c>
      <c r="D6" s="6" t="s">
        <v>372</v>
      </c>
      <c r="E6" s="6" t="s">
        <v>381</v>
      </c>
      <c r="F6" s="6" t="s">
        <v>382</v>
      </c>
      <c r="G6" s="6" t="s">
        <v>383</v>
      </c>
      <c r="H6" s="6" t="s">
        <v>384</v>
      </c>
      <c r="I6" s="6" t="s">
        <v>385</v>
      </c>
      <c r="J6" s="6" t="s">
        <v>25</v>
      </c>
    </row>
    <row r="7" customFormat="false" ht="96" hidden="false" customHeight="true" outlineLevel="0" collapsed="false">
      <c r="A7" s="6" t="s">
        <v>386</v>
      </c>
      <c r="B7" s="6" t="s">
        <v>387</v>
      </c>
      <c r="C7" s="6" t="s">
        <v>388</v>
      </c>
      <c r="D7" s="6" t="s">
        <v>372</v>
      </c>
      <c r="E7" s="6" t="s">
        <v>389</v>
      </c>
      <c r="F7" s="6" t="s">
        <v>390</v>
      </c>
      <c r="G7" s="6" t="s">
        <v>391</v>
      </c>
      <c r="H7" s="6" t="s">
        <v>392</v>
      </c>
      <c r="I7" s="6" t="s">
        <v>393</v>
      </c>
      <c r="J7" s="6" t="s">
        <v>25</v>
      </c>
    </row>
    <row r="8" customFormat="false" ht="96" hidden="false" customHeight="true" outlineLevel="0" collapsed="false">
      <c r="A8" s="6" t="s">
        <v>394</v>
      </c>
      <c r="B8" s="6" t="s">
        <v>395</v>
      </c>
      <c r="C8" s="6" t="s">
        <v>396</v>
      </c>
      <c r="D8" s="6" t="s">
        <v>339</v>
      </c>
      <c r="E8" s="6" t="s">
        <v>397</v>
      </c>
      <c r="F8" s="6" t="s">
        <v>398</v>
      </c>
      <c r="G8" s="6" t="s">
        <v>391</v>
      </c>
      <c r="H8" s="6" t="s">
        <v>399</v>
      </c>
      <c r="I8" s="6" t="s">
        <v>400</v>
      </c>
      <c r="J8" s="6" t="s">
        <v>25</v>
      </c>
    </row>
    <row r="9" customFormat="false" ht="96" hidden="false" customHeight="true" outlineLevel="0" collapsed="false">
      <c r="A9" s="6" t="s">
        <v>401</v>
      </c>
      <c r="B9" s="6" t="s">
        <v>402</v>
      </c>
      <c r="C9" s="6" t="s">
        <v>403</v>
      </c>
      <c r="D9" s="6" t="s">
        <v>404</v>
      </c>
      <c r="E9" s="6" t="s">
        <v>405</v>
      </c>
      <c r="F9" s="6" t="s">
        <v>406</v>
      </c>
      <c r="G9" s="6" t="s">
        <v>407</v>
      </c>
      <c r="H9" s="6" t="s">
        <v>408</v>
      </c>
      <c r="I9" s="6" t="s">
        <v>409</v>
      </c>
      <c r="J9" s="6" t="s">
        <v>410</v>
      </c>
    </row>
    <row r="10" customFormat="false" ht="96" hidden="false" customHeight="true" outlineLevel="0" collapsed="false">
      <c r="A10" s="6" t="s">
        <v>411</v>
      </c>
      <c r="B10" s="6" t="s">
        <v>412</v>
      </c>
      <c r="C10" s="6" t="s">
        <v>413</v>
      </c>
      <c r="D10" s="6" t="s">
        <v>339</v>
      </c>
      <c r="E10" s="6" t="s">
        <v>414</v>
      </c>
      <c r="F10" s="6" t="s">
        <v>415</v>
      </c>
      <c r="G10" s="6" t="s">
        <v>391</v>
      </c>
      <c r="H10" s="6" t="s">
        <v>416</v>
      </c>
      <c r="I10" s="6" t="s">
        <v>417</v>
      </c>
      <c r="J10" s="6" t="s">
        <v>418</v>
      </c>
    </row>
    <row r="11" customFormat="false" ht="96" hidden="false" customHeight="true" outlineLevel="0" collapsed="false">
      <c r="A11" s="6" t="s">
        <v>419</v>
      </c>
      <c r="B11" s="6" t="s">
        <v>420</v>
      </c>
      <c r="C11" s="6" t="s">
        <v>421</v>
      </c>
      <c r="D11" s="6" t="s">
        <v>422</v>
      </c>
      <c r="E11" s="6" t="s">
        <v>423</v>
      </c>
      <c r="F11" s="6" t="s">
        <v>424</v>
      </c>
      <c r="G11" s="6" t="s">
        <v>425</v>
      </c>
      <c r="H11" s="6" t="s">
        <v>426</v>
      </c>
      <c r="I11" s="6" t="s">
        <v>427</v>
      </c>
      <c r="J11" s="6" t="s">
        <v>25</v>
      </c>
    </row>
    <row r="12" customFormat="false" ht="96" hidden="false" customHeight="true" outlineLevel="0" collapsed="false">
      <c r="A12" s="6" t="s">
        <v>428</v>
      </c>
      <c r="B12" s="6" t="s">
        <v>429</v>
      </c>
      <c r="C12" s="6" t="s">
        <v>430</v>
      </c>
      <c r="D12" s="6" t="s">
        <v>431</v>
      </c>
      <c r="E12" s="6" t="s">
        <v>432</v>
      </c>
      <c r="F12" s="6" t="s">
        <v>433</v>
      </c>
      <c r="G12" s="6" t="s">
        <v>434</v>
      </c>
      <c r="H12" s="6" t="s">
        <v>435</v>
      </c>
      <c r="I12" s="6" t="s">
        <v>436</v>
      </c>
      <c r="J12" s="6" t="s">
        <v>25</v>
      </c>
    </row>
    <row r="13" customFormat="false" ht="96" hidden="false" customHeight="true" outlineLevel="0" collapsed="false">
      <c r="A13" s="6" t="s">
        <v>437</v>
      </c>
      <c r="B13" s="6" t="s">
        <v>438</v>
      </c>
      <c r="C13" s="6" t="s">
        <v>439</v>
      </c>
      <c r="D13" s="6" t="s">
        <v>431</v>
      </c>
      <c r="E13" s="6" t="s">
        <v>440</v>
      </c>
      <c r="F13" s="6" t="s">
        <v>441</v>
      </c>
      <c r="G13" s="6" t="s">
        <v>442</v>
      </c>
      <c r="H13" s="6" t="s">
        <v>443</v>
      </c>
      <c r="I13" s="6" t="s">
        <v>444</v>
      </c>
      <c r="J13" s="6" t="s">
        <v>25</v>
      </c>
    </row>
    <row r="14" customFormat="false" ht="96" hidden="false" customHeight="true" outlineLevel="0" collapsed="false">
      <c r="A14" s="6" t="s">
        <v>445</v>
      </c>
      <c r="B14" s="6" t="s">
        <v>446</v>
      </c>
      <c r="C14" s="6" t="s">
        <v>447</v>
      </c>
      <c r="D14" s="6" t="s">
        <v>404</v>
      </c>
      <c r="E14" s="6" t="s">
        <v>448</v>
      </c>
      <c r="F14" s="6" t="s">
        <v>449</v>
      </c>
      <c r="G14" s="6" t="s">
        <v>407</v>
      </c>
      <c r="H14" s="6" t="s">
        <v>450</v>
      </c>
      <c r="I14" s="6" t="s">
        <v>451</v>
      </c>
      <c r="J14" s="6" t="s">
        <v>452</v>
      </c>
    </row>
    <row r="15" customFormat="false" ht="96" hidden="false" customHeight="true" outlineLevel="0" collapsed="false">
      <c r="A15" s="6" t="s">
        <v>453</v>
      </c>
      <c r="B15" s="6" t="s">
        <v>454</v>
      </c>
      <c r="C15" s="6" t="s">
        <v>455</v>
      </c>
      <c r="D15" s="6" t="s">
        <v>372</v>
      </c>
      <c r="E15" s="6" t="s">
        <v>456</v>
      </c>
      <c r="F15" s="6" t="s">
        <v>457</v>
      </c>
      <c r="G15" s="6" t="s">
        <v>442</v>
      </c>
      <c r="H15" s="6" t="s">
        <v>458</v>
      </c>
      <c r="I15" s="6" t="s">
        <v>459</v>
      </c>
      <c r="J15" s="6" t="s">
        <v>25</v>
      </c>
    </row>
    <row r="16" customFormat="false" ht="96" hidden="false" customHeight="true" outlineLevel="0" collapsed="false">
      <c r="A16" s="6" t="s">
        <v>460</v>
      </c>
      <c r="B16" s="6" t="s">
        <v>461</v>
      </c>
      <c r="C16" s="6" t="s">
        <v>462</v>
      </c>
      <c r="D16" s="6" t="s">
        <v>346</v>
      </c>
      <c r="E16" s="6" t="s">
        <v>463</v>
      </c>
      <c r="F16" s="6" t="s">
        <v>464</v>
      </c>
      <c r="G16" s="6" t="s">
        <v>391</v>
      </c>
      <c r="H16" s="6" t="s">
        <v>465</v>
      </c>
      <c r="I16" s="6" t="s">
        <v>466</v>
      </c>
      <c r="J16" s="6" t="s">
        <v>25</v>
      </c>
    </row>
    <row r="18" customFormat="false" ht="15" hidden="false" customHeight="false" outlineLevel="0" collapsed="false">
      <c r="A18" s="18" t="s">
        <v>467</v>
      </c>
      <c r="D18" s="30" t="n">
        <f aca="false">COUNTIF(G5:G16,"FAILED_REWORK")</f>
        <v>2</v>
      </c>
    </row>
    <row r="19" customFormat="false" ht="15" hidden="false" customHeight="false" outlineLevel="0" collapsed="false">
      <c r="A19" s="18" t="s">
        <v>468</v>
      </c>
      <c r="D19" s="31" t="s">
        <v>57</v>
      </c>
      <c r="E19" s="31"/>
      <c r="F19" s="31"/>
      <c r="G19" s="31"/>
      <c r="H19" s="31"/>
      <c r="I19" s="31"/>
      <c r="J19" s="31"/>
    </row>
    <row r="20" customFormat="false" ht="39.75" hidden="false" customHeight="true" outlineLevel="0" collapsed="false">
      <c r="A20" s="18" t="s">
        <v>469</v>
      </c>
      <c r="D20" s="19" t="s">
        <v>53</v>
      </c>
      <c r="E20" s="19"/>
      <c r="F20" s="19"/>
      <c r="G20" s="19"/>
      <c r="H20" s="19"/>
      <c r="I20" s="19"/>
      <c r="J20" s="19"/>
    </row>
  </sheetData>
  <autoFilter ref="A4:J16"/>
  <mergeCells count="4">
    <mergeCell ref="A1:J1"/>
    <mergeCell ref="A2:J2"/>
    <mergeCell ref="D19:J19"/>
    <mergeCell ref="D20:J20"/>
  </mergeCells>
  <conditionalFormatting sqref="G5:G16">
    <cfRule type="cellIs" priority="2" operator="equal" aboveAverage="0" equalAverage="0" bottom="0" percent="0" rank="0" text="" dxfId="3">
      <formula>"FAILED_REWORK"</formula>
    </cfRule>
    <cfRule type="cellIs" priority="3" operator="equal" aboveAverage="0" equalAverage="0" bottom="0" percent="0" rank="0" text="" dxfId="4">
      <formula>"PASSED"</formula>
    </cfRule>
    <cfRule type="cellIs" priority="4" operator="equal" aboveAverage="0" equalAverage="0" bottom="0" percent="0" rank="0" text="" dxfId="4">
      <formula>"EVIDENCED_PM_DETERMINATION"</formula>
    </cfRule>
    <cfRule type="cellIs" priority="5" operator="equal" aboveAverage="0" equalAverage="0" bottom="0" percent="0" rank="0" text="" dxfId="4">
      <formula>"NOT_TRIGGERED"</formula>
    </cfRule>
    <cfRule type="cellIs" priority="6" operator="equal" aboveAverage="0" equalAverage="0" bottom="0" percent="0" rank="0" text="" dxfId="18">
      <formula>"CONDITIONAL"</formula>
    </cfRule>
    <cfRule type="cellIs" priority="7" operator="equal" aboveAverage="0" equalAverage="0" bottom="0" percent="0" rank="0" text="" dxfId="18">
      <formula>"PENDING_NOT_DUE"</formula>
    </cfRule>
    <cfRule type="cellIs" priority="8" operator="equal" aboveAverage="0" equalAverage="0" bottom="0" percent="0" rank="0" text="" dxfId="18">
      <formula>"PM_JUDGEMENT"</formula>
    </cfRule>
  </conditionalFormatting>
  <printOptions headings="false" gridLines="false" gridLinesSet="true" horizontalCentered="tru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WSAE | CE-018 | Rev 3.1 | Cut-off 2026-03-31&amp;R&amp;8 Page &amp;P of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4"/>
    <col collapsed="false" customWidth="true" hidden="false" outlineLevel="0" max="3" min="3" style="0" width="54"/>
    <col collapsed="false" customWidth="true" hidden="false" outlineLevel="0" max="4" min="4" style="0" width="30"/>
    <col collapsed="false" customWidth="true" hidden="false" outlineLevel="0" max="5" min="5" style="0" width="84"/>
  </cols>
  <sheetData>
    <row r="1" customFormat="false" ht="24" hidden="false" customHeight="true" outlineLevel="0" collapsed="false">
      <c r="A1" s="15" t="s">
        <v>470</v>
      </c>
      <c r="B1" s="15"/>
      <c r="C1" s="15"/>
      <c r="D1" s="15"/>
      <c r="E1" s="15"/>
    </row>
    <row r="2" customFormat="false" ht="15" hidden="false" customHeight="false" outlineLevel="0" collapsed="false">
      <c r="A2" s="16" t="s">
        <v>471</v>
      </c>
      <c r="B2" s="16"/>
      <c r="C2" s="16"/>
      <c r="D2" s="16"/>
      <c r="E2" s="16"/>
    </row>
    <row r="4" customFormat="false" ht="30" hidden="false" customHeight="true" outlineLevel="0" collapsed="false">
      <c r="A4" s="17" t="s">
        <v>361</v>
      </c>
      <c r="B4" s="17" t="s">
        <v>472</v>
      </c>
      <c r="C4" s="17" t="s">
        <v>473</v>
      </c>
      <c r="D4" s="17" t="s">
        <v>474</v>
      </c>
      <c r="E4" s="17" t="s">
        <v>475</v>
      </c>
    </row>
    <row r="5" customFormat="false" ht="99.75" hidden="false" customHeight="true" outlineLevel="0" collapsed="false">
      <c r="A5" s="6" t="s">
        <v>428</v>
      </c>
      <c r="B5" s="6" t="s">
        <v>476</v>
      </c>
      <c r="C5" s="6" t="s">
        <v>477</v>
      </c>
      <c r="D5" s="6" t="s">
        <v>434</v>
      </c>
      <c r="E5" s="6" t="s">
        <v>478</v>
      </c>
    </row>
    <row r="6" customFormat="false" ht="99.75" hidden="false" customHeight="true" outlineLevel="0" collapsed="false">
      <c r="A6" s="6" t="s">
        <v>437</v>
      </c>
      <c r="B6" s="6" t="s">
        <v>479</v>
      </c>
      <c r="C6" s="6" t="s">
        <v>480</v>
      </c>
      <c r="D6" s="6" t="s">
        <v>481</v>
      </c>
      <c r="E6" s="6" t="s">
        <v>482</v>
      </c>
    </row>
    <row r="7" customFormat="false" ht="99.75" hidden="false" customHeight="true" outlineLevel="0" collapsed="false">
      <c r="A7" s="6" t="s">
        <v>445</v>
      </c>
      <c r="B7" s="6" t="s">
        <v>483</v>
      </c>
      <c r="C7" s="6" t="s">
        <v>484</v>
      </c>
      <c r="D7" s="6" t="s">
        <v>481</v>
      </c>
      <c r="E7" s="6" t="s">
        <v>485</v>
      </c>
    </row>
    <row r="8" customFormat="false" ht="99.75" hidden="false" customHeight="true" outlineLevel="0" collapsed="false">
      <c r="A8" s="6" t="s">
        <v>453</v>
      </c>
      <c r="B8" s="6" t="s">
        <v>486</v>
      </c>
      <c r="C8" s="6" t="s">
        <v>487</v>
      </c>
      <c r="D8" s="6" t="s">
        <v>481</v>
      </c>
      <c r="E8" s="6" t="s">
        <v>488</v>
      </c>
    </row>
    <row r="10" customFormat="false" ht="30" hidden="false" customHeight="true" outlineLevel="0" collapsed="false">
      <c r="A10" s="18" t="s">
        <v>489</v>
      </c>
      <c r="B10" s="19" t="s">
        <v>55</v>
      </c>
      <c r="C10" s="19"/>
      <c r="D10" s="19"/>
      <c r="E10" s="19"/>
    </row>
  </sheetData>
  <mergeCells count="3">
    <mergeCell ref="A1:E1"/>
    <mergeCell ref="A2:E2"/>
    <mergeCell ref="B10:E10"/>
  </mergeCells>
  <conditionalFormatting sqref="D5:D8">
    <cfRule type="cellIs" priority="2" operator="equal" aboveAverage="0" equalAverage="0" bottom="0" percent="0" rank="0" text="" dxfId="4">
      <formula>"NOT_TRIGGERED"</formula>
    </cfRule>
    <cfRule type="cellIs" priority="3" operator="equal" aboveAverage="0" equalAverage="0" bottom="0" percent="0" rank="0" text="" dxfId="19">
      <formula>"PROJECT MANAGER JUDGEMENT"</formula>
    </cfRule>
    <cfRule type="cellIs" priority="4" operator="equal" aboveAverage="0" equalAverage="0" bottom="0" percent="0" rank="0" text="" dxfId="3">
      <formula>"TRIGGER_INDICATED"</formula>
    </cfRule>
  </conditionalFormatting>
  <printOptions headings="false" gridLines="false" gridLinesSet="true" horizontalCentered="tru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WSAE | CE-018 | Rev 3.1 | Cut-off 2026-03-31&amp;R&amp;8 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2"/>
    <col collapsed="false" customWidth="true" hidden="false" outlineLevel="0" max="3" min="3" style="0" width="42"/>
    <col collapsed="false" customWidth="true" hidden="false" outlineLevel="0" max="4" min="4" style="0" width="30"/>
    <col collapsed="false" customWidth="true" hidden="false" outlineLevel="0" max="5" min="5" style="0" width="38"/>
    <col collapsed="false" customWidth="true" hidden="false" outlineLevel="0" max="6" min="6" style="0" width="30"/>
    <col collapsed="false" customWidth="true" hidden="false" outlineLevel="0" max="7" min="7" style="0" width="38"/>
    <col collapsed="false" customWidth="true" hidden="false" outlineLevel="0" max="8" min="8" style="0" width="15"/>
    <col collapsed="false" customWidth="true" hidden="false" outlineLevel="0" max="9" min="9" style="0" width="30"/>
    <col collapsed="false" customWidth="true" hidden="false" outlineLevel="0" max="10" min="10" style="0" width="16"/>
    <col collapsed="false" customWidth="true" hidden="false" outlineLevel="0" max="11" min="11" style="0" width="34"/>
  </cols>
  <sheetData>
    <row r="1" customFormat="false" ht="24" hidden="false" customHeight="true" outlineLevel="0" collapsed="false">
      <c r="A1" s="15" t="s">
        <v>490</v>
      </c>
      <c r="B1" s="15"/>
      <c r="C1" s="15"/>
      <c r="D1" s="15"/>
      <c r="E1" s="15"/>
      <c r="F1" s="15"/>
      <c r="G1" s="15"/>
      <c r="H1" s="15"/>
      <c r="I1" s="15"/>
      <c r="J1" s="15"/>
      <c r="K1" s="15"/>
    </row>
    <row r="2" customFormat="false" ht="15" hidden="false" customHeight="false" outlineLevel="0" collapsed="false">
      <c r="A2" s="16" t="s">
        <v>491</v>
      </c>
      <c r="B2" s="16"/>
      <c r="C2" s="16"/>
      <c r="D2" s="16"/>
      <c r="E2" s="16"/>
      <c r="F2" s="16"/>
      <c r="G2" s="16"/>
      <c r="H2" s="16"/>
      <c r="I2" s="16"/>
      <c r="J2" s="16"/>
      <c r="K2" s="16"/>
    </row>
    <row r="4" customFormat="false" ht="15" hidden="false" customHeight="false" outlineLevel="0" collapsed="false">
      <c r="A4" s="4" t="s">
        <v>492</v>
      </c>
      <c r="B4" s="4"/>
      <c r="C4" s="4"/>
      <c r="D4" s="4"/>
      <c r="E4" s="4"/>
      <c r="F4" s="4"/>
      <c r="G4" s="4"/>
      <c r="H4" s="4"/>
      <c r="I4" s="4"/>
      <c r="J4" s="4"/>
      <c r="K4" s="4"/>
    </row>
    <row r="5" customFormat="false" ht="30" hidden="false" customHeight="true" outlineLevel="0" collapsed="false">
      <c r="A5" s="17" t="s">
        <v>493</v>
      </c>
      <c r="B5" s="17" t="s">
        <v>30</v>
      </c>
      <c r="C5" s="17" t="s">
        <v>494</v>
      </c>
      <c r="D5" s="17" t="s">
        <v>366</v>
      </c>
      <c r="E5" s="17" t="s">
        <v>322</v>
      </c>
      <c r="F5" s="17" t="s">
        <v>368</v>
      </c>
      <c r="G5" s="17" t="s">
        <v>495</v>
      </c>
      <c r="H5" s="17" t="s">
        <v>496</v>
      </c>
      <c r="I5" s="17" t="s">
        <v>497</v>
      </c>
      <c r="J5" s="17" t="s">
        <v>498</v>
      </c>
      <c r="K5" s="17" t="s">
        <v>323</v>
      </c>
    </row>
    <row r="6" customFormat="false" ht="75.75" hidden="false" customHeight="true" outlineLevel="0" collapsed="false">
      <c r="A6" s="6" t="s">
        <v>499</v>
      </c>
      <c r="B6" s="6" t="s">
        <v>500</v>
      </c>
      <c r="C6" s="6" t="s">
        <v>501</v>
      </c>
      <c r="D6" s="6" t="s">
        <v>502</v>
      </c>
      <c r="E6" s="6" t="s">
        <v>503</v>
      </c>
      <c r="F6" s="6" t="s">
        <v>504</v>
      </c>
      <c r="G6" s="6" t="s">
        <v>505</v>
      </c>
      <c r="H6" s="6" t="s">
        <v>506</v>
      </c>
      <c r="I6" s="6" t="s">
        <v>507</v>
      </c>
      <c r="J6" s="6" t="s">
        <v>508</v>
      </c>
      <c r="K6" s="6" t="s">
        <v>509</v>
      </c>
    </row>
    <row r="7" customFormat="false" ht="75.75" hidden="false" customHeight="true" outlineLevel="0" collapsed="false">
      <c r="A7" s="6" t="s">
        <v>510</v>
      </c>
      <c r="B7" s="6" t="s">
        <v>511</v>
      </c>
      <c r="C7" s="6" t="s">
        <v>512</v>
      </c>
      <c r="D7" s="6" t="s">
        <v>513</v>
      </c>
      <c r="E7" s="6" t="s">
        <v>514</v>
      </c>
      <c r="F7" s="6" t="s">
        <v>515</v>
      </c>
      <c r="G7" s="6" t="s">
        <v>516</v>
      </c>
      <c r="H7" s="6" t="s">
        <v>506</v>
      </c>
      <c r="I7" s="6" t="s">
        <v>507</v>
      </c>
      <c r="J7" s="6" t="s">
        <v>508</v>
      </c>
      <c r="K7" s="6" t="s">
        <v>517</v>
      </c>
    </row>
    <row r="8" customFormat="false" ht="75.75" hidden="false" customHeight="true" outlineLevel="0" collapsed="false">
      <c r="A8" s="6" t="s">
        <v>518</v>
      </c>
      <c r="B8" s="6" t="s">
        <v>519</v>
      </c>
      <c r="C8" s="6" t="s">
        <v>520</v>
      </c>
      <c r="D8" s="6" t="s">
        <v>521</v>
      </c>
      <c r="E8" s="6" t="s">
        <v>522</v>
      </c>
      <c r="F8" s="6" t="s">
        <v>27</v>
      </c>
      <c r="G8" s="6" t="s">
        <v>523</v>
      </c>
      <c r="H8" s="6" t="s">
        <v>524</v>
      </c>
      <c r="I8" s="6" t="s">
        <v>507</v>
      </c>
      <c r="J8" s="6" t="s">
        <v>508</v>
      </c>
      <c r="K8" s="6" t="s">
        <v>525</v>
      </c>
    </row>
    <row r="9" customFormat="false" ht="75.75" hidden="false" customHeight="true" outlineLevel="0" collapsed="false">
      <c r="A9" s="6" t="s">
        <v>526</v>
      </c>
      <c r="B9" s="6" t="s">
        <v>527</v>
      </c>
      <c r="C9" s="6" t="s">
        <v>528</v>
      </c>
      <c r="D9" s="6" t="s">
        <v>529</v>
      </c>
      <c r="E9" s="6" t="s">
        <v>530</v>
      </c>
      <c r="F9" s="6" t="s">
        <v>531</v>
      </c>
      <c r="G9" s="6" t="s">
        <v>532</v>
      </c>
      <c r="H9" s="6" t="s">
        <v>524</v>
      </c>
      <c r="I9" s="6" t="s">
        <v>507</v>
      </c>
      <c r="J9" s="6" t="s">
        <v>508</v>
      </c>
      <c r="K9" s="6" t="s">
        <v>533</v>
      </c>
    </row>
    <row r="10" customFormat="false" ht="75.75" hidden="false" customHeight="true" outlineLevel="0" collapsed="false">
      <c r="A10" s="6" t="s">
        <v>534</v>
      </c>
      <c r="B10" s="6" t="s">
        <v>535</v>
      </c>
      <c r="C10" s="6" t="s">
        <v>536</v>
      </c>
      <c r="D10" s="6" t="s">
        <v>179</v>
      </c>
      <c r="E10" s="6" t="s">
        <v>537</v>
      </c>
      <c r="F10" s="6" t="s">
        <v>418</v>
      </c>
      <c r="G10" s="6" t="s">
        <v>538</v>
      </c>
      <c r="H10" s="6" t="s">
        <v>506</v>
      </c>
      <c r="I10" s="6" t="s">
        <v>507</v>
      </c>
      <c r="J10" s="6" t="s">
        <v>508</v>
      </c>
      <c r="K10" s="6" t="s">
        <v>539</v>
      </c>
    </row>
    <row r="11" customFormat="false" ht="75.75" hidden="false" customHeight="true" outlineLevel="0" collapsed="false">
      <c r="A11" s="6" t="s">
        <v>540</v>
      </c>
      <c r="B11" s="6" t="s">
        <v>541</v>
      </c>
      <c r="C11" s="6" t="s">
        <v>542</v>
      </c>
      <c r="D11" s="6" t="s">
        <v>543</v>
      </c>
      <c r="E11" s="6" t="s">
        <v>544</v>
      </c>
      <c r="F11" s="6" t="s">
        <v>27</v>
      </c>
      <c r="G11" s="6" t="s">
        <v>545</v>
      </c>
      <c r="H11" s="6" t="s">
        <v>546</v>
      </c>
      <c r="I11" s="6" t="s">
        <v>507</v>
      </c>
      <c r="J11" s="6" t="s">
        <v>508</v>
      </c>
      <c r="K11" s="6" t="s">
        <v>369</v>
      </c>
    </row>
    <row r="13" customFormat="false" ht="21.75" hidden="false" customHeight="true" outlineLevel="0" collapsed="false">
      <c r="B13" s="32" t="s">
        <v>38</v>
      </c>
      <c r="C13" s="33" t="n">
        <f aca="false">SUMPRODUCT(--(LEFT(B6:B11,8)="CRITICAL"))</f>
        <v>2</v>
      </c>
      <c r="D13" s="34" t="s">
        <v>547</v>
      </c>
      <c r="E13" s="34"/>
      <c r="F13" s="34"/>
      <c r="G13" s="34"/>
      <c r="H13" s="34"/>
    </row>
    <row r="14" customFormat="false" ht="21.75" hidden="false" customHeight="true" outlineLevel="0" collapsed="false">
      <c r="B14" s="32" t="s">
        <v>548</v>
      </c>
      <c r="C14" s="35" t="n">
        <f aca="false">COUNTA(A6:A11)</f>
        <v>6</v>
      </c>
      <c r="D14" s="34" t="s">
        <v>549</v>
      </c>
      <c r="E14" s="34"/>
      <c r="F14" s="34"/>
      <c r="G14" s="34"/>
      <c r="H14" s="34"/>
    </row>
    <row r="16" customFormat="false" ht="15" hidden="false" customHeight="false" outlineLevel="0" collapsed="false">
      <c r="A16" s="36" t="s">
        <v>550</v>
      </c>
      <c r="B16" s="36"/>
      <c r="C16" s="36"/>
      <c r="D16" s="36"/>
      <c r="E16" s="36"/>
      <c r="F16" s="36"/>
      <c r="G16" s="36"/>
      <c r="H16" s="36"/>
      <c r="I16" s="36"/>
      <c r="J16" s="36"/>
      <c r="K16" s="36"/>
    </row>
    <row r="17" customFormat="false" ht="30" hidden="false" customHeight="true" outlineLevel="0" collapsed="false">
      <c r="A17" s="17" t="s">
        <v>493</v>
      </c>
      <c r="B17" s="17" t="s">
        <v>551</v>
      </c>
      <c r="C17" s="17" t="s">
        <v>368</v>
      </c>
      <c r="D17" s="17" t="s">
        <v>496</v>
      </c>
      <c r="E17" s="17" t="s">
        <v>497</v>
      </c>
      <c r="F17" s="17" t="s">
        <v>74</v>
      </c>
      <c r="G17" s="17" t="s">
        <v>552</v>
      </c>
      <c r="H17" s="17" t="s">
        <v>323</v>
      </c>
      <c r="I17" s="17"/>
      <c r="J17" s="17"/>
      <c r="K17" s="17"/>
    </row>
    <row r="18" customFormat="false" ht="39.75" hidden="false" customHeight="true" outlineLevel="0" collapsed="false">
      <c r="A18" s="6" t="s">
        <v>553</v>
      </c>
      <c r="B18" s="6" t="s">
        <v>554</v>
      </c>
      <c r="C18" s="6" t="s">
        <v>555</v>
      </c>
      <c r="D18" s="6" t="s">
        <v>506</v>
      </c>
      <c r="E18" s="6" t="s">
        <v>507</v>
      </c>
      <c r="F18" s="6" t="s">
        <v>556</v>
      </c>
      <c r="G18" s="6" t="s">
        <v>557</v>
      </c>
      <c r="H18" s="6" t="s">
        <v>558</v>
      </c>
      <c r="I18" s="6"/>
      <c r="J18" s="6"/>
      <c r="K18" s="6"/>
    </row>
    <row r="19" customFormat="false" ht="39.75" hidden="false" customHeight="true" outlineLevel="0" collapsed="false">
      <c r="A19" s="6" t="s">
        <v>559</v>
      </c>
      <c r="B19" s="6" t="s">
        <v>560</v>
      </c>
      <c r="C19" s="6" t="s">
        <v>27</v>
      </c>
      <c r="D19" s="6" t="s">
        <v>561</v>
      </c>
      <c r="E19" s="6" t="s">
        <v>507</v>
      </c>
      <c r="F19" s="6" t="s">
        <v>562</v>
      </c>
      <c r="G19" s="6" t="s">
        <v>553</v>
      </c>
      <c r="H19" s="6" t="s">
        <v>563</v>
      </c>
      <c r="I19" s="6"/>
      <c r="J19" s="6"/>
      <c r="K19" s="6"/>
    </row>
    <row r="20" customFormat="false" ht="39.75" hidden="false" customHeight="true" outlineLevel="0" collapsed="false">
      <c r="A20" s="6" t="s">
        <v>564</v>
      </c>
      <c r="B20" s="6" t="s">
        <v>565</v>
      </c>
      <c r="C20" s="6" t="s">
        <v>25</v>
      </c>
      <c r="D20" s="6" t="s">
        <v>506</v>
      </c>
      <c r="E20" s="6" t="s">
        <v>566</v>
      </c>
      <c r="F20" s="6" t="s">
        <v>567</v>
      </c>
      <c r="G20" s="6" t="s">
        <v>568</v>
      </c>
      <c r="H20" s="6" t="s">
        <v>569</v>
      </c>
      <c r="I20" s="6"/>
      <c r="J20" s="6"/>
      <c r="K20" s="6"/>
    </row>
    <row r="21" customFormat="false" ht="39.75" hidden="false" customHeight="true" outlineLevel="0" collapsed="false">
      <c r="A21" s="6" t="s">
        <v>570</v>
      </c>
      <c r="B21" s="6" t="s">
        <v>571</v>
      </c>
      <c r="C21" s="6" t="s">
        <v>25</v>
      </c>
      <c r="D21" s="6" t="s">
        <v>572</v>
      </c>
      <c r="E21" s="6" t="s">
        <v>573</v>
      </c>
      <c r="F21" s="6" t="s">
        <v>574</v>
      </c>
      <c r="G21" s="6" t="s">
        <v>575</v>
      </c>
      <c r="H21" s="6" t="s">
        <v>576</v>
      </c>
      <c r="I21" s="6"/>
      <c r="J21" s="6"/>
      <c r="K21" s="6"/>
    </row>
    <row r="24" customFormat="false" ht="15" hidden="false" customHeight="false" outlineLevel="0" collapsed="false">
      <c r="A24" s="4" t="s">
        <v>577</v>
      </c>
      <c r="B24" s="4"/>
      <c r="C24" s="4"/>
      <c r="D24" s="4"/>
      <c r="E24" s="4"/>
      <c r="F24" s="4"/>
      <c r="G24" s="4"/>
      <c r="H24" s="4"/>
      <c r="I24" s="4"/>
      <c r="J24" s="4"/>
      <c r="K24" s="4"/>
    </row>
    <row r="25" customFormat="false" ht="15" hidden="false" customHeight="true" outlineLevel="0" collapsed="false">
      <c r="A25" s="19" t="s">
        <v>578</v>
      </c>
      <c r="B25" s="19"/>
      <c r="C25" s="19"/>
      <c r="D25" s="19"/>
      <c r="E25" s="19"/>
      <c r="F25" s="19"/>
      <c r="G25" s="19"/>
      <c r="H25" s="19"/>
      <c r="I25" s="19"/>
      <c r="J25" s="19"/>
      <c r="K25" s="19"/>
    </row>
    <row r="26" customFormat="false" ht="15" hidden="false" customHeight="true" outlineLevel="0" collapsed="false">
      <c r="A26" s="19" t="s">
        <v>579</v>
      </c>
      <c r="B26" s="19"/>
      <c r="C26" s="19"/>
      <c r="D26" s="19"/>
      <c r="E26" s="19"/>
      <c r="F26" s="19"/>
      <c r="G26" s="19"/>
      <c r="H26" s="19"/>
      <c r="I26" s="19"/>
      <c r="J26" s="19"/>
      <c r="K26" s="19"/>
    </row>
    <row r="27" customFormat="false" ht="15" hidden="false" customHeight="true" outlineLevel="0" collapsed="false">
      <c r="A27" s="19" t="s">
        <v>580</v>
      </c>
      <c r="B27" s="19"/>
      <c r="C27" s="19"/>
      <c r="D27" s="19"/>
      <c r="E27" s="19"/>
      <c r="F27" s="19"/>
      <c r="G27" s="19"/>
      <c r="H27" s="19"/>
      <c r="I27" s="19"/>
      <c r="J27" s="19"/>
      <c r="K27" s="19"/>
    </row>
  </sheetData>
  <autoFilter ref="A5:K11"/>
  <mergeCells count="15">
    <mergeCell ref="A1:K1"/>
    <mergeCell ref="A2:K2"/>
    <mergeCell ref="A4:K4"/>
    <mergeCell ref="D13:H13"/>
    <mergeCell ref="D14:H14"/>
    <mergeCell ref="A16:K16"/>
    <mergeCell ref="H17:K17"/>
    <mergeCell ref="H18:K18"/>
    <mergeCell ref="H19:K19"/>
    <mergeCell ref="H20:K20"/>
    <mergeCell ref="H21:K21"/>
    <mergeCell ref="A24:K24"/>
    <mergeCell ref="A25:K25"/>
    <mergeCell ref="A26:K26"/>
    <mergeCell ref="A27:K27"/>
  </mergeCells>
  <dataValidations count="2">
    <dataValidation allowBlank="true" errorStyle="stop" operator="between" showDropDown="false" showErrorMessage="false" showInputMessage="false" sqref="J6:J11" type="list">
      <formula1>"Open,In progress,Closed,Pending - not due,Not applicable"</formula1>
      <formula2>0</formula2>
    </dataValidation>
    <dataValidation allowBlank="true" errorStyle="stop" operator="between" showDropDown="false" showErrorMessage="false" showInputMessage="false" sqref="F18:F21" type="list">
      <formula1>"Open - required for rework,Open - dependent,Pending - not overdue at cut-off,Pending - not due at the 2026-03-31 cut-off,In progress,Closed"</formula1>
      <formula2>0</formula2>
    </dataValidation>
  </dataValidations>
  <printOptions headings="false" gridLines="false" gridLinesSet="true" horizontalCentered="tru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WSAE | CE-018 | Rev 3.1 | Cut-off 2026-03-31&amp;R&amp;8 Page &amp;P of &amp;N</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3" min="3" style="0" width="60"/>
    <col collapsed="false" customWidth="true" hidden="false" outlineLevel="0" max="4" min="4" style="0" width="26"/>
    <col collapsed="false" customWidth="true" hidden="false" outlineLevel="0" max="6" min="5" style="0" width="22"/>
    <col collapsed="false" customWidth="true" hidden="false" outlineLevel="0" max="7" min="7" style="0" width="60"/>
    <col collapsed="false" customWidth="true" hidden="false" outlineLevel="0" max="8" min="8" style="0" width="20"/>
    <col collapsed="false" customWidth="true" hidden="false" outlineLevel="0" max="9" min="9" style="0" width="34"/>
  </cols>
  <sheetData>
    <row r="1" customFormat="false" ht="24" hidden="false" customHeight="true" outlineLevel="0" collapsed="false">
      <c r="A1" s="15" t="s">
        <v>581</v>
      </c>
      <c r="B1" s="15"/>
      <c r="C1" s="15"/>
      <c r="D1" s="15"/>
      <c r="E1" s="15"/>
      <c r="F1" s="15"/>
      <c r="G1" s="15"/>
      <c r="H1" s="15"/>
      <c r="I1" s="15"/>
    </row>
    <row r="2" customFormat="false" ht="15" hidden="false" customHeight="false" outlineLevel="0" collapsed="false">
      <c r="A2" s="16" t="s">
        <v>582</v>
      </c>
      <c r="B2" s="16"/>
      <c r="C2" s="16"/>
      <c r="D2" s="16"/>
      <c r="E2" s="16"/>
      <c r="F2" s="16"/>
      <c r="G2" s="16"/>
      <c r="H2" s="16"/>
      <c r="I2" s="16"/>
    </row>
    <row r="4" customFormat="false" ht="30" hidden="false" customHeight="true" outlineLevel="0" collapsed="false">
      <c r="A4" s="17" t="s">
        <v>583</v>
      </c>
      <c r="B4" s="17" t="s">
        <v>584</v>
      </c>
      <c r="C4" s="17" t="s">
        <v>585</v>
      </c>
      <c r="D4" s="17" t="s">
        <v>586</v>
      </c>
      <c r="E4" s="17" t="s">
        <v>587</v>
      </c>
      <c r="F4" s="17" t="s">
        <v>588</v>
      </c>
      <c r="G4" s="17" t="s">
        <v>589</v>
      </c>
      <c r="H4" s="17" t="s">
        <v>74</v>
      </c>
      <c r="I4" s="17" t="s">
        <v>590</v>
      </c>
    </row>
    <row r="5" customFormat="false" ht="31.5" hidden="false" customHeight="true" outlineLevel="0" collapsed="false">
      <c r="A5" s="6" t="s">
        <v>591</v>
      </c>
      <c r="B5" s="6" t="s">
        <v>592</v>
      </c>
      <c r="C5" s="6" t="s">
        <v>593</v>
      </c>
      <c r="D5" s="6" t="s">
        <v>150</v>
      </c>
      <c r="E5" s="6" t="s">
        <v>594</v>
      </c>
      <c r="F5" s="6" t="s">
        <v>595</v>
      </c>
      <c r="G5" s="6" t="s">
        <v>596</v>
      </c>
      <c r="H5" s="6" t="s">
        <v>597</v>
      </c>
      <c r="I5" s="6" t="s">
        <v>598</v>
      </c>
    </row>
    <row r="6" customFormat="false" ht="31.5" hidden="false" customHeight="true" outlineLevel="0" collapsed="false">
      <c r="A6" s="6" t="s">
        <v>599</v>
      </c>
      <c r="B6" s="6" t="s">
        <v>592</v>
      </c>
      <c r="C6" s="6" t="s">
        <v>600</v>
      </c>
      <c r="D6" s="6" t="s">
        <v>156</v>
      </c>
      <c r="E6" s="6" t="s">
        <v>601</v>
      </c>
      <c r="F6" s="6" t="s">
        <v>602</v>
      </c>
      <c r="G6" s="6" t="s">
        <v>603</v>
      </c>
      <c r="H6" s="6" t="s">
        <v>597</v>
      </c>
      <c r="I6" s="6" t="s">
        <v>598</v>
      </c>
    </row>
    <row r="7" customFormat="false" ht="31.5" hidden="false" customHeight="true" outlineLevel="0" collapsed="false">
      <c r="A7" s="6" t="s">
        <v>604</v>
      </c>
      <c r="B7" s="6" t="s">
        <v>592</v>
      </c>
      <c r="C7" s="6" t="s">
        <v>605</v>
      </c>
      <c r="D7" s="6" t="s">
        <v>150</v>
      </c>
      <c r="E7" s="6" t="s">
        <v>594</v>
      </c>
      <c r="F7" s="6" t="s">
        <v>595</v>
      </c>
      <c r="G7" s="6" t="s">
        <v>606</v>
      </c>
      <c r="H7" s="6" t="s">
        <v>607</v>
      </c>
      <c r="I7" s="6" t="s">
        <v>598</v>
      </c>
    </row>
    <row r="8" customFormat="false" ht="31.5" hidden="false" customHeight="true" outlineLevel="0" collapsed="false">
      <c r="A8" s="6" t="s">
        <v>608</v>
      </c>
      <c r="B8" s="6" t="s">
        <v>609</v>
      </c>
      <c r="C8" s="6" t="s">
        <v>610</v>
      </c>
      <c r="D8" s="6" t="s">
        <v>156</v>
      </c>
      <c r="E8" s="6" t="s">
        <v>601</v>
      </c>
      <c r="F8" s="6" t="s">
        <v>602</v>
      </c>
      <c r="G8" s="6" t="s">
        <v>611</v>
      </c>
      <c r="H8" s="6" t="s">
        <v>597</v>
      </c>
      <c r="I8" s="6" t="s">
        <v>598</v>
      </c>
    </row>
    <row r="9" customFormat="false" ht="31.5" hidden="false" customHeight="true" outlineLevel="0" collapsed="false">
      <c r="A9" s="6" t="s">
        <v>612</v>
      </c>
      <c r="B9" s="6" t="s">
        <v>609</v>
      </c>
      <c r="C9" s="6" t="s">
        <v>613</v>
      </c>
      <c r="D9" s="6" t="s">
        <v>172</v>
      </c>
      <c r="E9" s="6" t="s">
        <v>105</v>
      </c>
      <c r="F9" s="6" t="s">
        <v>614</v>
      </c>
      <c r="G9" s="6" t="s">
        <v>615</v>
      </c>
      <c r="H9" s="6" t="s">
        <v>597</v>
      </c>
      <c r="I9" s="6" t="s">
        <v>598</v>
      </c>
    </row>
    <row r="10" customFormat="false" ht="31.5" hidden="false" customHeight="true" outlineLevel="0" collapsed="false">
      <c r="A10" s="6" t="s">
        <v>616</v>
      </c>
      <c r="B10" s="6" t="s">
        <v>609</v>
      </c>
      <c r="C10" s="6" t="s">
        <v>617</v>
      </c>
      <c r="D10" s="6" t="s">
        <v>156</v>
      </c>
      <c r="E10" s="6" t="s">
        <v>601</v>
      </c>
      <c r="F10" s="6" t="s">
        <v>602</v>
      </c>
      <c r="G10" s="6" t="s">
        <v>618</v>
      </c>
      <c r="H10" s="6" t="s">
        <v>508</v>
      </c>
      <c r="I10" s="6" t="s">
        <v>598</v>
      </c>
    </row>
    <row r="11" customFormat="false" ht="31.5" hidden="false" customHeight="true" outlineLevel="0" collapsed="false">
      <c r="A11" s="6" t="s">
        <v>21</v>
      </c>
      <c r="B11" s="6" t="s">
        <v>619</v>
      </c>
      <c r="C11" s="6" t="s">
        <v>620</v>
      </c>
      <c r="D11" s="6" t="s">
        <v>621</v>
      </c>
      <c r="E11" s="6" t="s">
        <v>622</v>
      </c>
      <c r="F11" s="6" t="s">
        <v>623</v>
      </c>
      <c r="G11" s="6" t="s">
        <v>624</v>
      </c>
      <c r="H11" s="6" t="s">
        <v>625</v>
      </c>
      <c r="I11" s="6" t="s">
        <v>626</v>
      </c>
    </row>
    <row r="12" customFormat="false" ht="31.5" hidden="false" customHeight="true" outlineLevel="0" collapsed="false">
      <c r="A12" s="6" t="s">
        <v>21</v>
      </c>
      <c r="B12" s="6" t="s">
        <v>619</v>
      </c>
      <c r="C12" s="6" t="s">
        <v>627</v>
      </c>
      <c r="D12" s="6" t="s">
        <v>621</v>
      </c>
      <c r="E12" s="6" t="s">
        <v>622</v>
      </c>
      <c r="F12" s="6" t="s">
        <v>623</v>
      </c>
      <c r="G12" s="6" t="s">
        <v>628</v>
      </c>
      <c r="H12" s="6" t="s">
        <v>508</v>
      </c>
      <c r="I12" s="6" t="s">
        <v>629</v>
      </c>
    </row>
    <row r="13" customFormat="false" ht="31.5" hidden="false" customHeight="true" outlineLevel="0" collapsed="false">
      <c r="A13" s="6" t="s">
        <v>506</v>
      </c>
      <c r="B13" s="6" t="s">
        <v>630</v>
      </c>
      <c r="C13" s="6" t="s">
        <v>631</v>
      </c>
      <c r="D13" s="6" t="s">
        <v>172</v>
      </c>
      <c r="E13" s="6" t="s">
        <v>105</v>
      </c>
      <c r="F13" s="6" t="s">
        <v>614</v>
      </c>
      <c r="G13" s="6" t="s">
        <v>632</v>
      </c>
      <c r="H13" s="6" t="s">
        <v>567</v>
      </c>
      <c r="I13" s="6" t="s">
        <v>598</v>
      </c>
    </row>
    <row r="14" customFormat="false" ht="31.5" hidden="false" customHeight="true" outlineLevel="0" collapsed="false">
      <c r="A14" s="6" t="s">
        <v>572</v>
      </c>
      <c r="B14" s="6" t="s">
        <v>630</v>
      </c>
      <c r="C14" s="6" t="s">
        <v>633</v>
      </c>
      <c r="D14" s="6" t="s">
        <v>172</v>
      </c>
      <c r="E14" s="6" t="s">
        <v>105</v>
      </c>
      <c r="F14" s="6" t="s">
        <v>614</v>
      </c>
      <c r="G14" s="6" t="s">
        <v>634</v>
      </c>
      <c r="H14" s="6" t="s">
        <v>635</v>
      </c>
      <c r="I14" s="6" t="s">
        <v>636</v>
      </c>
    </row>
    <row r="17" customFormat="false" ht="15" hidden="false" customHeight="false" outlineLevel="0" collapsed="false">
      <c r="A17" s="37" t="s">
        <v>637</v>
      </c>
    </row>
    <row r="18" customFormat="false" ht="15" hidden="false" customHeight="false" outlineLevel="0" collapsed="false">
      <c r="A18" s="10" t="s">
        <v>638</v>
      </c>
      <c r="B18" s="38"/>
      <c r="C18" s="38"/>
      <c r="D18" s="38"/>
    </row>
    <row r="19" customFormat="false" ht="15" hidden="false" customHeight="false" outlineLevel="0" collapsed="false">
      <c r="A19" s="10" t="s">
        <v>639</v>
      </c>
      <c r="B19" s="38"/>
      <c r="C19" s="38"/>
      <c r="D19" s="38"/>
    </row>
    <row r="20" customFormat="false" ht="15" hidden="false" customHeight="false" outlineLevel="0" collapsed="false">
      <c r="A20" s="10" t="s">
        <v>640</v>
      </c>
      <c r="B20" s="38"/>
      <c r="C20" s="38"/>
      <c r="D20" s="38"/>
    </row>
    <row r="21" customFormat="false" ht="15" hidden="false" customHeight="false" outlineLevel="0" collapsed="false">
      <c r="A21" s="10" t="s">
        <v>641</v>
      </c>
      <c r="B21" s="38"/>
      <c r="C21" s="38"/>
      <c r="D21" s="38"/>
    </row>
    <row r="22" customFormat="false" ht="15" hidden="false" customHeight="false" outlineLevel="0" collapsed="false">
      <c r="A22" s="10" t="s">
        <v>642</v>
      </c>
      <c r="B22" s="38"/>
      <c r="C22" s="38"/>
      <c r="D22" s="38"/>
    </row>
    <row r="23" customFormat="false" ht="15" hidden="false" customHeight="false" outlineLevel="0" collapsed="false">
      <c r="A23" s="10" t="s">
        <v>643</v>
      </c>
      <c r="B23" s="38"/>
      <c r="C23" s="38"/>
      <c r="D23" s="38"/>
    </row>
    <row r="25" customFormat="false" ht="15" hidden="false" customHeight="false" outlineLevel="0" collapsed="false">
      <c r="A25" s="39" t="s">
        <v>644</v>
      </c>
      <c r="B25" s="39"/>
      <c r="C25" s="39"/>
      <c r="D25" s="39"/>
      <c r="E25" s="39"/>
      <c r="F25" s="39"/>
      <c r="G25" s="39"/>
      <c r="H25" s="39"/>
      <c r="I25" s="39"/>
    </row>
  </sheetData>
  <mergeCells count="9">
    <mergeCell ref="A1:I1"/>
    <mergeCell ref="A2:I2"/>
    <mergeCell ref="B18:D18"/>
    <mergeCell ref="B19:D19"/>
    <mergeCell ref="B20:D20"/>
    <mergeCell ref="B21:D21"/>
    <mergeCell ref="B22:D22"/>
    <mergeCell ref="B23:D23"/>
    <mergeCell ref="A25:I25"/>
  </mergeCells>
  <printOptions headings="false" gridLines="false" gridLinesSet="true" horizontalCentered="tru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WSAE | CE-018 | Rev 3.1 | Cut-off 2026-03-31&amp;R&amp;8 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2"/>
    <col collapsed="false" customWidth="true" hidden="false" outlineLevel="0" max="3" min="3" style="0" width="12"/>
    <col collapsed="false" customWidth="true" hidden="false" outlineLevel="0" max="4" min="4" style="0" width="74"/>
    <col collapsed="false" customWidth="true" hidden="false" outlineLevel="0" max="5" min="5" style="0" width="64"/>
  </cols>
  <sheetData>
    <row r="1" customFormat="false" ht="24" hidden="false" customHeight="true" outlineLevel="0" collapsed="false">
      <c r="A1" s="15" t="s">
        <v>645</v>
      </c>
      <c r="B1" s="15"/>
      <c r="C1" s="15"/>
      <c r="D1" s="15"/>
      <c r="E1" s="15"/>
    </row>
    <row r="2" customFormat="false" ht="15" hidden="false" customHeight="false" outlineLevel="0" collapsed="false">
      <c r="A2" s="16" t="s">
        <v>646</v>
      </c>
      <c r="B2" s="16"/>
      <c r="C2" s="16"/>
      <c r="D2" s="16"/>
      <c r="E2" s="16"/>
    </row>
    <row r="4" customFormat="false" ht="30" hidden="false" customHeight="true" outlineLevel="0" collapsed="false">
      <c r="A4" s="17" t="s">
        <v>76</v>
      </c>
      <c r="B4" s="17" t="s">
        <v>75</v>
      </c>
      <c r="C4" s="17" t="s">
        <v>78</v>
      </c>
      <c r="D4" s="17" t="s">
        <v>647</v>
      </c>
      <c r="E4" s="17" t="s">
        <v>648</v>
      </c>
    </row>
    <row r="5" customFormat="false" ht="30" hidden="false" customHeight="true" outlineLevel="0" collapsed="false">
      <c r="A5" s="6" t="s">
        <v>85</v>
      </c>
      <c r="B5" s="6" t="s">
        <v>84</v>
      </c>
      <c r="C5" s="6" t="s">
        <v>87</v>
      </c>
      <c r="D5" s="6" t="s">
        <v>649</v>
      </c>
      <c r="E5" s="6" t="s">
        <v>650</v>
      </c>
    </row>
    <row r="6" customFormat="false" ht="30" hidden="false" customHeight="true" outlineLevel="0" collapsed="false">
      <c r="A6" s="6" t="s">
        <v>92</v>
      </c>
      <c r="B6" s="6" t="s">
        <v>91</v>
      </c>
      <c r="C6" s="6" t="s">
        <v>87</v>
      </c>
      <c r="D6" s="6" t="s">
        <v>651</v>
      </c>
      <c r="E6" s="6" t="s">
        <v>652</v>
      </c>
    </row>
    <row r="7" customFormat="false" ht="30" hidden="false" customHeight="true" outlineLevel="0" collapsed="false">
      <c r="A7" s="6" t="s">
        <v>97</v>
      </c>
      <c r="B7" s="6" t="s">
        <v>96</v>
      </c>
      <c r="C7" s="6" t="s">
        <v>99</v>
      </c>
      <c r="D7" s="6" t="s">
        <v>653</v>
      </c>
      <c r="E7" s="6" t="s">
        <v>654</v>
      </c>
    </row>
    <row r="8" customFormat="false" ht="30" hidden="false" customHeight="true" outlineLevel="0" collapsed="false">
      <c r="A8" s="6" t="s">
        <v>103</v>
      </c>
      <c r="B8" s="6" t="s">
        <v>102</v>
      </c>
      <c r="C8" s="6" t="s">
        <v>87</v>
      </c>
      <c r="D8" s="6" t="s">
        <v>655</v>
      </c>
      <c r="E8" s="6" t="s">
        <v>656</v>
      </c>
    </row>
    <row r="9" customFormat="false" ht="30" hidden="false" customHeight="true" outlineLevel="0" collapsed="false">
      <c r="A9" s="6" t="s">
        <v>109</v>
      </c>
      <c r="B9" s="6" t="s">
        <v>108</v>
      </c>
      <c r="C9" s="6" t="s">
        <v>87</v>
      </c>
      <c r="D9" s="6" t="s">
        <v>657</v>
      </c>
      <c r="E9" s="6" t="s">
        <v>658</v>
      </c>
    </row>
    <row r="10" customFormat="false" ht="30" hidden="false" customHeight="true" outlineLevel="0" collapsed="false">
      <c r="A10" s="6" t="s">
        <v>114</v>
      </c>
      <c r="B10" s="6" t="s">
        <v>113</v>
      </c>
      <c r="C10" s="6" t="s">
        <v>87</v>
      </c>
      <c r="D10" s="6" t="s">
        <v>659</v>
      </c>
      <c r="E10" s="6" t="s">
        <v>116</v>
      </c>
    </row>
    <row r="11" customFormat="false" ht="30" hidden="false" customHeight="true" outlineLevel="0" collapsed="false">
      <c r="A11" s="6" t="s">
        <v>119</v>
      </c>
      <c r="B11" s="6" t="s">
        <v>118</v>
      </c>
      <c r="C11" s="6" t="s">
        <v>121</v>
      </c>
      <c r="D11" s="6" t="s">
        <v>660</v>
      </c>
      <c r="E11" s="6" t="s">
        <v>661</v>
      </c>
    </row>
    <row r="12" customFormat="false" ht="30" hidden="false" customHeight="true" outlineLevel="0" collapsed="false">
      <c r="A12" s="6" t="s">
        <v>125</v>
      </c>
      <c r="B12" s="6" t="s">
        <v>124</v>
      </c>
      <c r="C12" s="6" t="s">
        <v>121</v>
      </c>
      <c r="D12" s="6" t="s">
        <v>662</v>
      </c>
      <c r="E12" s="6" t="s">
        <v>663</v>
      </c>
    </row>
    <row r="13" customFormat="false" ht="30" hidden="false" customHeight="true" outlineLevel="0" collapsed="false">
      <c r="A13" s="6" t="s">
        <v>131</v>
      </c>
      <c r="B13" s="6" t="s">
        <v>130</v>
      </c>
      <c r="C13" s="6" t="s">
        <v>121</v>
      </c>
      <c r="D13" s="6" t="s">
        <v>664</v>
      </c>
      <c r="E13" s="6" t="s">
        <v>665</v>
      </c>
    </row>
    <row r="14" customFormat="false" ht="30" hidden="false" customHeight="true" outlineLevel="0" collapsed="false">
      <c r="A14" s="6" t="s">
        <v>137</v>
      </c>
      <c r="B14" s="6" t="s">
        <v>136</v>
      </c>
      <c r="C14" s="6" t="s">
        <v>121</v>
      </c>
      <c r="D14" s="6" t="s">
        <v>666</v>
      </c>
      <c r="E14" s="6" t="s">
        <v>667</v>
      </c>
    </row>
    <row r="15" customFormat="false" ht="30" hidden="false" customHeight="true" outlineLevel="0" collapsed="false">
      <c r="A15" s="6" t="s">
        <v>142</v>
      </c>
      <c r="B15" s="6" t="s">
        <v>141</v>
      </c>
      <c r="C15" s="6" t="s">
        <v>144</v>
      </c>
      <c r="D15" s="6" t="s">
        <v>668</v>
      </c>
      <c r="E15" s="6" t="s">
        <v>669</v>
      </c>
    </row>
    <row r="16" customFormat="false" ht="30" hidden="false" customHeight="true" outlineLevel="0" collapsed="false">
      <c r="A16" s="6" t="s">
        <v>148</v>
      </c>
      <c r="B16" s="6" t="s">
        <v>147</v>
      </c>
      <c r="C16" s="6" t="s">
        <v>121</v>
      </c>
      <c r="D16" s="6" t="s">
        <v>670</v>
      </c>
      <c r="E16" s="6" t="s">
        <v>671</v>
      </c>
    </row>
    <row r="17" customFormat="false" ht="30" hidden="false" customHeight="true" outlineLevel="0" collapsed="false">
      <c r="A17" s="6" t="s">
        <v>154</v>
      </c>
      <c r="B17" s="6" t="s">
        <v>153</v>
      </c>
      <c r="C17" s="6" t="s">
        <v>121</v>
      </c>
      <c r="D17" s="6" t="s">
        <v>672</v>
      </c>
      <c r="E17" s="6" t="s">
        <v>673</v>
      </c>
    </row>
    <row r="18" customFormat="false" ht="30" hidden="false" customHeight="true" outlineLevel="0" collapsed="false">
      <c r="A18" s="6" t="s">
        <v>160</v>
      </c>
      <c r="B18" s="6" t="s">
        <v>159</v>
      </c>
      <c r="C18" s="6" t="s">
        <v>121</v>
      </c>
      <c r="D18" s="6" t="s">
        <v>674</v>
      </c>
      <c r="E18" s="6" t="s">
        <v>675</v>
      </c>
    </row>
    <row r="19" customFormat="false" ht="30" hidden="false" customHeight="true" outlineLevel="0" collapsed="false">
      <c r="A19" s="6" t="s">
        <v>165</v>
      </c>
      <c r="B19" s="6" t="s">
        <v>164</v>
      </c>
      <c r="C19" s="6" t="s">
        <v>121</v>
      </c>
      <c r="D19" s="6" t="s">
        <v>676</v>
      </c>
      <c r="E19" s="6" t="s">
        <v>677</v>
      </c>
    </row>
    <row r="20" customFormat="false" ht="30" hidden="false" customHeight="true" outlineLevel="0" collapsed="false">
      <c r="A20" s="6" t="s">
        <v>170</v>
      </c>
      <c r="B20" s="6" t="s">
        <v>169</v>
      </c>
      <c r="C20" s="6" t="s">
        <v>121</v>
      </c>
      <c r="D20" s="6" t="s">
        <v>678</v>
      </c>
      <c r="E20" s="6" t="s">
        <v>679</v>
      </c>
    </row>
    <row r="21" customFormat="false" ht="30" hidden="false" customHeight="true" outlineLevel="0" collapsed="false">
      <c r="A21" s="6" t="s">
        <v>176</v>
      </c>
      <c r="B21" s="6" t="s">
        <v>175</v>
      </c>
      <c r="C21" s="6" t="s">
        <v>121</v>
      </c>
      <c r="D21" s="6" t="s">
        <v>680</v>
      </c>
      <c r="E21" s="6" t="s">
        <v>681</v>
      </c>
    </row>
    <row r="22" customFormat="false" ht="30" hidden="false" customHeight="true" outlineLevel="0" collapsed="false">
      <c r="A22" s="6" t="s">
        <v>181</v>
      </c>
      <c r="B22" s="6" t="s">
        <v>180</v>
      </c>
      <c r="C22" s="6" t="s">
        <v>183</v>
      </c>
      <c r="D22" s="6" t="s">
        <v>682</v>
      </c>
      <c r="E22" s="6" t="s">
        <v>683</v>
      </c>
    </row>
    <row r="23" customFormat="false" ht="30" hidden="false" customHeight="true" outlineLevel="0" collapsed="false">
      <c r="A23" s="6" t="s">
        <v>189</v>
      </c>
      <c r="B23" s="6" t="s">
        <v>188</v>
      </c>
      <c r="C23" s="6" t="s">
        <v>191</v>
      </c>
      <c r="D23" s="6" t="s">
        <v>684</v>
      </c>
      <c r="E23" s="6" t="s">
        <v>685</v>
      </c>
    </row>
    <row r="24" customFormat="false" ht="30" hidden="false" customHeight="true" outlineLevel="0" collapsed="false">
      <c r="A24" s="6" t="s">
        <v>196</v>
      </c>
      <c r="B24" s="6" t="s">
        <v>195</v>
      </c>
      <c r="C24" s="6" t="s">
        <v>198</v>
      </c>
      <c r="D24" s="6" t="s">
        <v>686</v>
      </c>
      <c r="E24" s="6" t="s">
        <v>687</v>
      </c>
    </row>
    <row r="25" customFormat="false" ht="30" hidden="false" customHeight="true" outlineLevel="0" collapsed="false">
      <c r="A25" s="6" t="s">
        <v>203</v>
      </c>
      <c r="B25" s="6" t="s">
        <v>202</v>
      </c>
      <c r="C25" s="6" t="s">
        <v>205</v>
      </c>
      <c r="D25" s="6" t="s">
        <v>688</v>
      </c>
      <c r="E25" s="6" t="s">
        <v>689</v>
      </c>
    </row>
    <row r="26" customFormat="false" ht="30" hidden="false" customHeight="true" outlineLevel="0" collapsed="false">
      <c r="A26" s="6" t="s">
        <v>209</v>
      </c>
      <c r="B26" s="6" t="s">
        <v>208</v>
      </c>
      <c r="C26" s="6" t="s">
        <v>211</v>
      </c>
      <c r="D26" s="6" t="s">
        <v>690</v>
      </c>
      <c r="E26" s="6" t="s">
        <v>691</v>
      </c>
    </row>
    <row r="27" customFormat="false" ht="30" hidden="false" customHeight="true" outlineLevel="0" collapsed="false">
      <c r="A27" s="6" t="s">
        <v>216</v>
      </c>
      <c r="B27" s="6" t="s">
        <v>215</v>
      </c>
      <c r="C27" s="6" t="s">
        <v>218</v>
      </c>
      <c r="D27" s="6" t="s">
        <v>692</v>
      </c>
      <c r="E27" s="6" t="s">
        <v>693</v>
      </c>
    </row>
  </sheetData>
  <autoFilter ref="A4:E27"/>
  <mergeCells count="2">
    <mergeCell ref="A1:E1"/>
    <mergeCell ref="A2:E2"/>
  </mergeCells>
  <conditionalFormatting sqref="D5:D27">
    <cfRule type="cellIs" priority="2" operator="equal" aboveAverage="0" equalAverage="0" bottom="0" percent="0" rank="0" text="" dxfId="3">
      <formula>"RECORD ABSENT"</formula>
    </cfRule>
  </conditionalFormatting>
  <printOptions headings="false" gridLines="false" gridLinesSet="true" horizontalCentered="tru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&amp;L&amp;8 WSAE | CE-018 | Rev 3.1 | Cut-off 2026-03-31&amp;R&amp;8 Page &amp;P of &amp;N</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2026-08-22T17:02:46Z</dcterms:created>
  <dc:creator>openpyxl</dc:creator>
  <dc:description/>
  <dc:language>en-US</dc:language>
  <cp:lastModifiedBy/>
  <dcterms:modified xsi:type="dcterms:W3CDTF">2026-08-22T17:02:46Z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