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uidance" sheetId="2" state="visible" r:id="rId4"/>
    <sheet name="Blank Scorecard" sheetId="3" state="visible" r:id="rId5"/>
    <sheet name="Worked Example CE-018" sheetId="4" state="visible" r:id="rId6"/>
  </sheets>
  <definedNames>
    <definedName function="false" hidden="false" localSheetId="2" name="_xlnm.Print_Area" vbProcedure="false">'Blank Scorecard'!$A$1:$E$44</definedName>
    <definedName function="false" hidden="false" localSheetId="0" name="_xlnm.Print_Area" vbProcedure="false">Cover!$A$1:$B$40</definedName>
    <definedName function="false" hidden="false" localSheetId="1" name="_xlnm.Print_Area" vbProcedure="false">Guidance!$A$1:$C$67</definedName>
    <definedName function="false" hidden="false" localSheetId="3" name="_xlnm.Print_Area" vbProcedure="false">'Worked Example CE-018'!$A$1:$E$40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<sst xmlns="http://schemas.openxmlformats.org/spreadsheetml/2006/main" count="214" uniqueCount="188">
  <si>
    <t xml:space="preserve">CE018-SP-12</t>
  </si>
  <si>
    <t xml:space="preserve">Test and Acceptance Scorecard</t>
  </si>
  <si>
    <t xml:space="preserve">Stage 03 — Test the output  |  Formula-driven totalling, critical-failure detection and route consistency checking</t>
  </si>
  <si>
    <t xml:space="preserve">Document reference</t>
  </si>
  <si>
    <t xml:space="preserve">Template title</t>
  </si>
  <si>
    <t xml:space="preserve">Starter pack stage</t>
  </si>
  <si>
    <t xml:space="preserve">03 — Test the output</t>
  </si>
  <si>
    <t xml:space="preserve">Accountable owner</t>
  </si>
  <si>
    <t xml:space="preserve">Project Controls Lead (completes) / accountable decision owner (receives)</t>
  </si>
  <si>
    <t xml:space="preserve">Version</t>
  </si>
  <si>
    <t xml:space="preserve">v1.0</t>
  </si>
  <si>
    <t xml:space="preserve">Status — blank template</t>
  </si>
  <si>
    <t xml:space="preserve">TEMPLATE — CONFIGURE BEFORE USE</t>
  </si>
  <si>
    <t xml:space="preserve">Status — worked example</t>
  </si>
  <si>
    <t xml:space="preserve">ISSUED FOR PROJECT MANAGER REVIEW (IFR) — NOT APPROVED</t>
  </si>
  <si>
    <t xml:space="preserve">Issue date</t>
  </si>
  <si>
    <t xml:space="preserve">2026-03-31</t>
  </si>
  <si>
    <t xml:space="preserve">Project</t>
  </si>
  <si>
    <t xml:space="preserve">Westbridge Station Access and Enabling Works (WSAE)</t>
  </si>
  <si>
    <t xml:space="preserve">Worked example</t>
  </si>
  <si>
    <t xml:space="preserve">CE-018 — Restricted access to the Platform 4 worksite</t>
  </si>
  <si>
    <t xml:space="preserve">Evidence cut-off</t>
  </si>
  <si>
    <t xml:space="preserve">Prepared by</t>
  </si>
  <si>
    <t xml:space="preserve">CE-018 Project Controls Assurance Assistant (configured AI support, non-contractual)</t>
  </si>
  <si>
    <t xml:space="preserve">Prepared for</t>
  </si>
  <si>
    <t xml:space="preserve">Elena Brooks — NEC4 Project Manager</t>
  </si>
  <si>
    <t xml:space="preserve">Control owner</t>
  </si>
  <si>
    <t xml:space="preserve">Sofia Khan — Project Controls Lead</t>
  </si>
  <si>
    <t xml:space="preserve">Classification</t>
  </si>
  <si>
    <t xml:space="preserve">Fictional Demonstration Data</t>
  </si>
  <si>
    <t xml:space="preserve">Previous template</t>
  </si>
  <si>
    <t xml:space="preserve">CE018-SP-11 Four-Test Assurance Checklist</t>
  </si>
  <si>
    <t xml:space="preserve">Next template</t>
  </si>
  <si>
    <t xml:space="preserve">CE018-SP-13 Configured NEC4 Decision-Readiness Control Matrix</t>
  </si>
  <si>
    <t xml:space="preserve">Retained human authority</t>
  </si>
  <si>
    <t xml:space="preserve">This workbook is configured Project Controls assurance support. It is not a contractual communication and it does not state NEC4 or legal compliance.</t>
  </si>
  <si>
    <t xml:space="preserve">In the CE-018 worked example, Elena Brooks, NEC4 Project Manager, retains every contractual decision. In your own use, name the relevant contractual role or accountable decision owner in place of Elena Brooks.</t>
  </si>
  <si>
    <t xml:space="preserve">Worksheets in this workbook</t>
  </si>
  <si>
    <t xml:space="preserve">Cover — document control and retained authority</t>
  </si>
  <si>
    <t xml:space="preserve">Guidance — purpose, owner, completion instructions, mandatory fields</t>
  </si>
  <si>
    <t xml:space="preserve">Blank Scorecard — reusable, formula-driven</t>
  </si>
  <si>
    <t xml:space="preserve">Worked Example CE-018 — four conditions reconciled by formula</t>
  </si>
  <si>
    <t xml:space="preserve">How to use this template</t>
  </si>
  <si>
    <t xml:space="preserve">1. Purpose</t>
  </si>
  <si>
    <t xml:space="preserve">The scorecard totals the four test scores, counts the critical failures, lists the failing test identifiers and checks that the recorded route is consistent with the critical-failure rule. Every one of those is a formula, so the sheet recalculates when a score changes.</t>
  </si>
  <si>
    <t xml:space="preserve">The scorecard does not derive the route. It records the route and then tests it for consistency. That distinction is deliberate and is explained on the blank sheet.</t>
  </si>
  <si>
    <t xml:space="preserve">2. When to use this template</t>
  </si>
  <si>
    <t xml:space="preserve">•  Immediately after the four-test checklist is scored.</t>
  </si>
  <si>
    <t xml:space="preserve">•  At every retest, to show the movement between runs.</t>
  </si>
  <si>
    <t xml:space="preserve">•  When issuing an assurance pack to the accountable decision owner.</t>
  </si>
  <si>
    <t xml:space="preserve">•  When reconciling a transcribed result against its source record.</t>
  </si>
  <si>
    <t xml:space="preserve">3. Accountable owner</t>
  </si>
  <si>
    <t xml:space="preserve">Role</t>
  </si>
  <si>
    <t xml:space="preserve">Named person in the CE-018 worked example</t>
  </si>
  <si>
    <t xml:space="preserve">Responsibility for this template</t>
  </si>
  <si>
    <t xml:space="preserve">Scorecard owner</t>
  </si>
  <si>
    <t xml:space="preserve">Completes the score inputs and records the route and its basis.</t>
  </si>
  <si>
    <t xml:space="preserve">Recipient</t>
  </si>
  <si>
    <t xml:space="preserve">Receives the scorecard as the summary page of the assurance pack.</t>
  </si>
  <si>
    <t xml:space="preserve">Reviewer</t>
  </si>
  <si>
    <t xml:space="preserve">Independent assurance reviewer [CONFIGURE]</t>
  </si>
  <si>
    <t xml:space="preserve">Checks that the consistency formulas return OK before issue.</t>
  </si>
  <si>
    <t xml:space="preserve">Configured AI support</t>
  </si>
  <si>
    <t xml:space="preserve">CE-018 Assurance Assistant</t>
  </si>
  <si>
    <t xml:space="preserve">Populates the score inputs and the citation fields. Does not set the route.</t>
  </si>
  <si>
    <t xml:space="preserve">4. Completion instructions</t>
  </si>
  <si>
    <t xml:space="preserve">1.  Enter the four test scores in the yellow input cells. Enter 2, 1 or 0 only.</t>
  </si>
  <si>
    <t xml:space="preserve">2.  Read the computed total, critical-failure count and critical test identifiers. Do not type over a formula cell.</t>
  </si>
  <si>
    <t xml:space="preserve">3.  Enter the recorded decision-readiness route and its stated basis in the yellow input cells.</t>
  </si>
  <si>
    <t xml:space="preserve">4.  Check the two consistency formulas. Both must return OK before the scorecard is issued.</t>
  </si>
  <si>
    <t xml:space="preserve">5.  Do not attempt to compute the route from the scores. The route-priority hierarchy depends on why a test scored 0, which a score alone does not carry.</t>
  </si>
  <si>
    <t xml:space="preserve">6.  Where a transcribed result is being reconciled against a source record, enter the issued values separately and use the comparison formulas to confirm the transcription.</t>
  </si>
  <si>
    <t xml:space="preserve">7.  Record the source file name and locator for every value transcribed from an issued record.</t>
  </si>
  <si>
    <t xml:space="preserve">5. Minimum mandatory fields</t>
  </si>
  <si>
    <t xml:space="preserve">Field</t>
  </si>
  <si>
    <t xml:space="preserve">What it must record</t>
  </si>
  <si>
    <t xml:space="preserve">Mandatory</t>
  </si>
  <si>
    <t xml:space="preserve">Run reference and cut-off</t>
  </si>
  <si>
    <t xml:space="preserve">The run being scored and its evidence cut-off.</t>
  </si>
  <si>
    <t xml:space="preserve">Yes</t>
  </si>
  <si>
    <t xml:space="preserve">Four test scores</t>
  </si>
  <si>
    <t xml:space="preserve">T1 to T4, each 2, 1 or 0.</t>
  </si>
  <si>
    <t xml:space="preserve">Total and maximum</t>
  </si>
  <si>
    <t xml:space="preserve">Computed by formula.</t>
  </si>
  <si>
    <t xml:space="preserve">Critical-failure count and IDs</t>
  </si>
  <si>
    <t xml:space="preserve">Computed by formula from the scores.</t>
  </si>
  <si>
    <t xml:space="preserve">Recorded route and basis</t>
  </si>
  <si>
    <t xml:space="preserve">The route recorded for the run and the basis stated for it.</t>
  </si>
  <si>
    <t xml:space="preserve">Consistency checks</t>
  </si>
  <si>
    <t xml:space="preserve">Formula results confirming the route is compatible with the critical-failure rule.</t>
  </si>
  <si>
    <t xml:space="preserve">Source file and locator</t>
  </si>
  <si>
    <t xml:space="preserve">Where each transcribed value came from.</t>
  </si>
  <si>
    <t xml:space="preserve">6. Recorded assumptions, gaps and limitations</t>
  </si>
  <si>
    <t xml:space="preserve">•  The scorecard checks internal consistency. It does not validate the underlying evidence, which is the four tests' function.</t>
  </si>
  <si>
    <t xml:space="preserve">•  The route is recorded, not computed. Deriving it from scores alone would misroute at least one of the four demonstrated conditions.</t>
  </si>
  <si>
    <t xml:space="preserve">•  A critical assurance exception count and a critical test failure count are different measures and are not added together.</t>
  </si>
  <si>
    <t xml:space="preserve">•  All formulas are Excel-2007-era functions so the workbook recalculates predictably.</t>
  </si>
  <si>
    <t xml:space="preserve">•  Gap carried: a consistency check can only detect a route that contradicts the rule. It cannot detect a route that is merely the wrong one of two permissible routes.</t>
  </si>
  <si>
    <t xml:space="preserve">7. Relationship to the previous and next template</t>
  </si>
  <si>
    <t xml:space="preserve">Position</t>
  </si>
  <si>
    <t xml:space="preserve">Template</t>
  </si>
  <si>
    <t xml:space="preserve">Relationship</t>
  </si>
  <si>
    <t xml:space="preserve">Previous</t>
  </si>
  <si>
    <t xml:space="preserve">The checklist produces the four scores; the scorecard totals and tests them.</t>
  </si>
  <si>
    <t xml:space="preserve">This template</t>
  </si>
  <si>
    <t xml:space="preserve">CE018-SP-12 Test and Acceptance Scorecard</t>
  </si>
  <si>
    <t xml:space="preserve">Totals the scores, detects critical failures by formula and checks the recorded route for consistency.</t>
  </si>
  <si>
    <t xml:space="preserve">Next</t>
  </si>
  <si>
    <t xml:space="preserve">The scorecard summarises the four tests; SP-13 records the twelve configured controls behind them.</t>
  </si>
  <si>
    <t xml:space="preserve">8. Retained human authority</t>
  </si>
  <si>
    <t xml:space="preserve">Permitted assistant support / prohibited assistant actions</t>
  </si>
  <si>
    <t xml:space="preserve">Permitted: extract; link; compare; reconcile; cite; flag; score against the configured controls; identify exceptions and owners; prepare a decision-readiness pack; recommend a controlled review route.</t>
  </si>
  <si>
    <t xml:space="preserve"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</si>
  <si>
    <t xml:space="preserve">Elena Brooks, NEC4 Project Manager, retains every contractual decision on CE-018. When reused, name the relevant contractual role or accountable decision owner.</t>
  </si>
  <si>
    <t xml:space="preserve">Test and Acceptance Scorecard — blank</t>
  </si>
  <si>
    <t xml:space="preserve">Formula-driven. Enter values in the yellow cells only.</t>
  </si>
  <si>
    <t xml:space="preserve">Edit the yellow cells only. Every entry shown as [CONFIGURE] must be set by the accountable owner before this template is used on a live task.</t>
  </si>
  <si>
    <t xml:space="preserve">The four score cells are pre-set to 2 to show the expected format and to let you see the formulas working. Overwrite them with the actual scores.</t>
  </si>
  <si>
    <t xml:space="preserve">This blank sheet carries no CE-018 values. Do not copy worked-example values into it.</t>
  </si>
  <si>
    <t xml:space="preserve">Yellow cells are inputs. Every other value on this sheet is a formula.</t>
  </si>
  <si>
    <t xml:space="preserve">Enter 2, 1 or 0 for each test score. Enter the recorded route and its basis. Nothing else is typed.</t>
  </si>
  <si>
    <t xml:space="preserve">The route is recorded here, not calculated. The route-priority hierarchy depends on why a test scored 0, and a score alone does not carry that reason.</t>
  </si>
  <si>
    <t xml:space="preserve">Run reference</t>
  </si>
  <si>
    <t xml:space="preserve">[CONFIGURE]</t>
  </si>
  <si>
    <t xml:space="preserve">Test</t>
  </si>
  <si>
    <t xml:space="preserve">Score (input 2 / 1 / 0)</t>
  </si>
  <si>
    <t xml:space="preserve">Status (formula)</t>
  </si>
  <si>
    <t xml:space="preserve">Critical failure (formula)</t>
  </si>
  <si>
    <t xml:space="preserve">Notes</t>
  </si>
  <si>
    <t xml:space="preserve">T1 — Evidence and version</t>
  </si>
  <si>
    <t xml:space="preserve">T2 — Records agree</t>
  </si>
  <si>
    <t xml:space="preserve">T3 — Configured NEC4 route and clock</t>
  </si>
  <si>
    <t xml:space="preserve">T4 — Human authority</t>
  </si>
  <si>
    <t xml:space="preserve">Total score</t>
  </si>
  <si>
    <t xml:space="preserve">Maximum score</t>
  </si>
  <si>
    <t xml:space="preserve">Critical failure count</t>
  </si>
  <si>
    <t xml:space="preserve">Critical test identifiers</t>
  </si>
  <si>
    <t xml:space="preserve">Critical failure present?</t>
  </si>
  <si>
    <t xml:space="preserve">Score entries valid?</t>
  </si>
  <si>
    <t xml:space="preserve">Recorded decision-readiness route</t>
  </si>
  <si>
    <t xml:space="preserve">Recorded route basis</t>
  </si>
  <si>
    <t xml:space="preserve">[CONFIGURE] state why this route applies, referencing the failing test or the bounded condition.</t>
  </si>
  <si>
    <t xml:space="preserve">Consistency check 1 — route against critical failure</t>
  </si>
  <si>
    <t xml:space="preserve">Consistency check 2 — authority failure takes first priority</t>
  </si>
  <si>
    <t xml:space="preserve">Consistency check 3 — no critical failure but a restrictive route recorded</t>
  </si>
  <si>
    <t xml:space="preserve">Issue gate</t>
  </si>
  <si>
    <t xml:space="preserve">Why the route is not calculated from the scores</t>
  </si>
  <si>
    <t xml:space="preserve">In one of the four demonstrated CE-018 conditions, T2 scored 0 because agreement could not be tested with a mandatory record absent — not because the records present conflicted. The issued route was REWORK EVIDENCE PACK, not STOP / RECONCILE.</t>
  </si>
  <si>
    <t xml:space="preserve">A formula mapping T2 = 0 to STOP / RECONCILE would therefore return the wrong route. The score records that a control failed; it does not record why.</t>
  </si>
  <si>
    <t xml:space="preserve">The scorecard records the route and its basis, then checks the two things a formula can safely check: that a ready route is not claimed over a critical failure, and that a reserved-authority failure is routed to the accountable contractual role.</t>
  </si>
  <si>
    <t xml:space="preserve">Fictional Demonstration Data. Configured NEC4 process-assurance checks only — not a statement of NEC4 or legal compliance and not legal advice. Elena Brooks, NEC4 Project Manager, retains every contractual decision on CE-018.</t>
  </si>
  <si>
    <t xml:space="preserve">Test and Acceptance Scorecard — CE-018, four conditions reconciled by formula</t>
  </si>
  <si>
    <t xml:space="preserve">Transcribed scores in blue. Computed values in black. The reconciliation block compares the computed values against the totals and routes transcribed separately from each issued record.</t>
  </si>
  <si>
    <t xml:space="preserve">COMPLETED CE-018 WORKED EXAMPLE — ISSUED FOR PROJECT MANAGER REVIEW (IFR) — NOT APPROVED</t>
  </si>
  <si>
    <t xml:space="preserve">Fictional Demonstration Data. Every value is transcribed from the final issued CE-018 scenario record and is not rerun, rescored or reinterpreted here.</t>
  </si>
  <si>
    <t xml:space="preserve">Source record: the four final issued CE-018 scenario records, each read only for its own column</t>
  </si>
  <si>
    <t xml:space="preserve">Read-only reference. Do not edit this sheet; copy the blank template instead.</t>
  </si>
  <si>
    <t xml:space="preserve">S1 Rev 3.0</t>
  </si>
  <si>
    <t xml:space="preserve">S2 Rev 3.1</t>
  </si>
  <si>
    <t xml:space="preserve">S3 Rev 3.4</t>
  </si>
  <si>
    <t xml:space="preserve">S4 Rev 3.2</t>
  </si>
  <si>
    <t xml:space="preserve">Total score (computed)</t>
  </si>
  <si>
    <t xml:space="preserve">Maximum score (computed)</t>
  </si>
  <si>
    <t xml:space="preserve">Critical failure count (computed)</t>
  </si>
  <si>
    <t xml:space="preserve">Critical test identifiers (computed)</t>
  </si>
  <si>
    <t xml:space="preserve">Issued total, transcribed separately</t>
  </si>
  <si>
    <t xml:space="preserve">Issued critical failure count, transcribed separately</t>
  </si>
  <si>
    <t xml:space="preserve">Issued critical test identifiers, transcribed separately</t>
  </si>
  <si>
    <t xml:space="preserve">NONE</t>
  </si>
  <si>
    <t xml:space="preserve">T1, T2, T3</t>
  </si>
  <si>
    <t xml:space="preserve">T2</t>
  </si>
  <si>
    <t xml:space="preserve">T4</t>
  </si>
  <si>
    <t xml:space="preserve">Issued decision-readiness route, transcribed separately</t>
  </si>
  <si>
    <t xml:space="preserve">READY WITH CONDITIONS</t>
  </si>
  <si>
    <t xml:space="preserve">REWORK EVIDENCE PACK</t>
  </si>
  <si>
    <t xml:space="preserve">STOP / RECONCILE</t>
  </si>
  <si>
    <t xml:space="preserve">REFER TO PROJECT MANAGER</t>
  </si>
  <si>
    <t xml:space="preserve">Reconciliation — computed against issued</t>
  </si>
  <si>
    <t xml:space="preserve">Total reconciles?</t>
  </si>
  <si>
    <t xml:space="preserve">Critical count reconciles?</t>
  </si>
  <si>
    <t xml:space="preserve">Critical identifiers reconcile?</t>
  </si>
  <si>
    <t xml:space="preserve">Route consistent with the critical-failure rule?</t>
  </si>
  <si>
    <t xml:space="preserve">Authority failure routed to the Project Manager?</t>
  </si>
  <si>
    <t xml:space="preserve">Gate — all reconciliation checks</t>
  </si>
  <si>
    <t xml:space="preserve">What this reconciliation does and does not prove</t>
  </si>
  <si>
    <t xml:space="preserve">It proves that the transcribed scores add to the issued totals, that the critical-failure counts and identifiers agree, and that no route contradicts the critical-failure rule.</t>
  </si>
  <si>
    <t xml:space="preserve">It does not rerun, rescore or reinterpret any assessment, and it does not validate the underlying evidence. The four issued results are unchanged.</t>
  </si>
  <si>
    <t xml:space="preserve">S4 records the highest total of the three failing conditions at 5 of 8 and still returns the most restrictive route, because the failure is at T4. The reconciliation confirms that routing, it does not produce it.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</si>
</sst>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8A6D4"/>
      <name val="Arial"/>
      <family val="0"/>
      <charset val="1"/>
    </font>
    <font>
      <b val="true"/>
      <sz val="20"/>
      <color rgb="FF263858"/>
      <name val="Arial"/>
      <family val="0"/>
      <charset val="1"/>
    </font>
    <font>
      <sz val="10"/>
      <color rgb="FF754887"/>
      <name val="Arial"/>
      <family val="0"/>
      <charset val="1"/>
    </font>
    <font>
      <b val="true"/>
      <sz val="9"/>
      <color rgb="FF263858"/>
      <name val="Arial"/>
      <family val="0"/>
      <charset val="1"/>
    </font>
    <font>
      <sz val="9"/>
      <color rgb="FF263858"/>
      <name val="Arial"/>
      <family val="0"/>
      <charset val="1"/>
    </font>
    <font>
      <b val="true"/>
      <sz val="10"/>
      <color rgb="FF263858"/>
      <name val="Arial"/>
      <family val="0"/>
      <charset val="1"/>
    </font>
    <font>
      <b val="true"/>
      <sz val="10"/>
      <color rgb="FF08A6D4"/>
      <name val="Arial"/>
      <family val="0"/>
      <charset val="1"/>
    </font>
    <font>
      <b val="true"/>
      <sz val="18"/>
      <color rgb="FF263858"/>
      <name val="Arial"/>
      <family val="0"/>
      <charset val="1"/>
    </font>
    <font>
      <b val="true"/>
      <sz val="12"/>
      <color rgb="FF263858"/>
      <name val="Arial"/>
      <family val="0"/>
      <charset val="1"/>
    </font>
    <font>
      <sz val="10"/>
      <color rgb="FF26385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754887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0"/>
      <color rgb="FFF36B5D"/>
      <name val="Arial"/>
      <family val="0"/>
      <charset val="1"/>
    </font>
    <font>
      <sz val="8"/>
      <color rgb="FF6B7A8D"/>
      <name val="Arial"/>
      <family val="0"/>
      <charset val="1"/>
    </font>
    <font>
      <b val="true"/>
      <sz val="9"/>
      <color rgb="FFB23A2C"/>
      <name val="Arial"/>
      <family val="0"/>
      <charset val="1"/>
    </font>
    <font>
      <b val="true"/>
      <sz val="11"/>
      <color rgb="FF26385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8A6D4"/>
        <bgColor rgb="FF33CCCC"/>
      </patternFill>
    </fill>
    <fill>
      <patternFill patternType="solid">
        <fgColor rgb="FFDFF3F8"/>
        <bgColor rgb="FFEDF1F6"/>
      </patternFill>
    </fill>
    <fill>
      <patternFill patternType="solid">
        <fgColor rgb="FFEDF1F6"/>
        <bgColor rgb="FFF4F6F8"/>
      </patternFill>
    </fill>
    <fill>
      <patternFill patternType="solid">
        <fgColor rgb="FF263858"/>
        <bgColor rgb="FF003366"/>
      </patternFill>
    </fill>
    <fill>
      <patternFill patternType="solid">
        <fgColor rgb="FFF4F6F8"/>
        <bgColor rgb="FFEDF1F6"/>
      </patternFill>
    </fill>
    <fill>
      <patternFill patternType="solid">
        <fgColor rgb="FFF1EAF4"/>
        <bgColor rgb="FFEDF1F6"/>
      </patternFill>
    </fill>
    <fill>
      <patternFill patternType="solid">
        <fgColor rgb="FFFFFF00"/>
        <bgColor rgb="FFFFFF00"/>
      </patternFill>
    </fill>
    <fill>
      <patternFill patternType="solid">
        <fgColor rgb="FFFCE9E5"/>
        <bgColor rgb="FFF1EA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  <border diagonalUp="false" diagonalDown="false">
      <left/>
      <right/>
      <top/>
      <bottom style="medium">
        <color rgb="FF08A6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D"/>
      <rgbColor rgb="FF9999FF"/>
      <rgbColor rgb="FF993366"/>
      <rgbColor rgb="FFF4F6F8"/>
      <rgbColor rgb="FFDFF3F8"/>
      <rgbColor rgb="FF660066"/>
      <rgbColor rgb="FFF36B5D"/>
      <rgbColor rgb="FF0066CC"/>
      <rgbColor rgb="FFC9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8A6D4"/>
      <rgbColor rgb="FFEDF1F6"/>
      <rgbColor rgb="FFF1EAF4"/>
      <rgbColor rgb="FFFCE9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54887"/>
      <rgbColor rgb="FF969696"/>
      <rgbColor rgb="FF003366"/>
      <rgbColor rgb="FF339966"/>
      <rgbColor rgb="FF003300"/>
      <rgbColor rgb="FF333300"/>
      <rgbColor rgb="FFB23A2C"/>
      <rgbColor rgb="FF993366"/>
      <rgbColor rgb="FF333399"/>
      <rgbColor rgb="FF263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1599840</xdr:colOff>
      <xdr:row>2</xdr:row>
      <xdr:rowOff>28440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599840" cy="42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407520</xdr:colOff>
      <xdr:row>2</xdr:row>
      <xdr:rowOff>9360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753320" y="0"/>
          <a:ext cx="1676160" cy="40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1215000</xdr:colOff>
      <xdr:row>30</xdr:row>
      <xdr:rowOff>85320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5143680"/>
          <a:ext cx="304776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64</xdr:row>
      <xdr:rowOff>58320</xdr:rowOff>
    </xdr:from>
    <xdr:to>
      <xdr:col>1</xdr:col>
      <xdr:colOff>933120</xdr:colOff>
      <xdr:row>65</xdr:row>
      <xdr:rowOff>219600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15049440"/>
          <a:ext cx="304776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22"/>
  </cols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5" customFormat="false" ht="15" hidden="false" customHeight="false" outlineLevel="0" collapsed="false">
      <c r="A5" s="1" t="s">
        <v>0</v>
      </c>
    </row>
    <row r="6" customFormat="false" ht="27.75" hidden="false" customHeight="true" outlineLevel="0" collapsed="false">
      <c r="A6" s="2" t="s">
        <v>1</v>
      </c>
    </row>
    <row r="7" customFormat="false" ht="21.75" hidden="false" customHeight="true" outlineLevel="0" collapsed="false">
      <c r="A7" s="3" t="s">
        <v>2</v>
      </c>
      <c r="B7" s="3"/>
      <c r="C7" s="3"/>
      <c r="D7" s="3"/>
      <c r="E7" s="3"/>
      <c r="F7" s="3"/>
      <c r="G7" s="3"/>
      <c r="H7" s="3"/>
    </row>
    <row r="9" customFormat="false" ht="3.75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1" customFormat="false" ht="13.5" hidden="false" customHeight="true" outlineLevel="0" collapsed="false">
      <c r="A11" s="5" t="s">
        <v>3</v>
      </c>
      <c r="B11" s="6" t="s">
        <v>0</v>
      </c>
      <c r="C11" s="6"/>
      <c r="D11" s="6"/>
      <c r="E11" s="6"/>
      <c r="F11" s="6"/>
      <c r="G11" s="6"/>
      <c r="H11" s="6"/>
    </row>
    <row r="12" customFormat="false" ht="13.5" hidden="false" customHeight="true" outlineLevel="0" collapsed="false">
      <c r="A12" s="5" t="s">
        <v>4</v>
      </c>
      <c r="B12" s="6" t="s">
        <v>1</v>
      </c>
      <c r="C12" s="6"/>
      <c r="D12" s="6"/>
      <c r="E12" s="6"/>
      <c r="F12" s="6"/>
      <c r="G12" s="6"/>
      <c r="H12" s="6"/>
    </row>
    <row r="13" customFormat="false" ht="13.5" hidden="false" customHeight="true" outlineLevel="0" collapsed="false">
      <c r="A13" s="5" t="s">
        <v>5</v>
      </c>
      <c r="B13" s="6" t="s">
        <v>6</v>
      </c>
      <c r="C13" s="6"/>
      <c r="D13" s="6"/>
      <c r="E13" s="6"/>
      <c r="F13" s="6"/>
      <c r="G13" s="6"/>
      <c r="H13" s="6"/>
    </row>
    <row r="14" customFormat="false" ht="13.5" hidden="false" customHeight="true" outlineLevel="0" collapsed="false">
      <c r="A14" s="5" t="s">
        <v>7</v>
      </c>
      <c r="B14" s="6" t="s">
        <v>8</v>
      </c>
      <c r="C14" s="6"/>
      <c r="D14" s="6"/>
      <c r="E14" s="6"/>
      <c r="F14" s="6"/>
      <c r="G14" s="6"/>
      <c r="H14" s="6"/>
    </row>
    <row r="15" customFormat="false" ht="13.5" hidden="false" customHeight="true" outlineLevel="0" collapsed="false">
      <c r="A15" s="5" t="s">
        <v>9</v>
      </c>
      <c r="B15" s="6" t="s">
        <v>10</v>
      </c>
      <c r="C15" s="6"/>
      <c r="D15" s="6"/>
      <c r="E15" s="6"/>
      <c r="F15" s="6"/>
      <c r="G15" s="6"/>
      <c r="H15" s="6"/>
    </row>
    <row r="16" customFormat="false" ht="13.5" hidden="false" customHeight="true" outlineLevel="0" collapsed="false">
      <c r="A16" s="5" t="s">
        <v>11</v>
      </c>
      <c r="B16" s="6" t="s">
        <v>12</v>
      </c>
      <c r="C16" s="6"/>
      <c r="D16" s="6"/>
      <c r="E16" s="6"/>
      <c r="F16" s="6"/>
      <c r="G16" s="6"/>
      <c r="H16" s="6"/>
    </row>
    <row r="17" customFormat="false" ht="13.5" hidden="false" customHeight="true" outlineLevel="0" collapsed="false">
      <c r="A17" s="5" t="s">
        <v>13</v>
      </c>
      <c r="B17" s="6" t="s">
        <v>14</v>
      </c>
      <c r="C17" s="6"/>
      <c r="D17" s="6"/>
      <c r="E17" s="6"/>
      <c r="F17" s="6"/>
      <c r="G17" s="6"/>
      <c r="H17" s="6"/>
    </row>
    <row r="18" customFormat="false" ht="13.5" hidden="false" customHeight="true" outlineLevel="0" collapsed="false">
      <c r="A18" s="5" t="s">
        <v>15</v>
      </c>
      <c r="B18" s="6" t="s">
        <v>16</v>
      </c>
      <c r="C18" s="6"/>
      <c r="D18" s="6"/>
      <c r="E18" s="6"/>
      <c r="F18" s="6"/>
      <c r="G18" s="6"/>
      <c r="H18" s="6"/>
    </row>
    <row r="19" customFormat="false" ht="13.5" hidden="false" customHeight="true" outlineLevel="0" collapsed="false">
      <c r="A19" s="5" t="s">
        <v>17</v>
      </c>
      <c r="B19" s="6" t="s">
        <v>18</v>
      </c>
      <c r="C19" s="6"/>
      <c r="D19" s="6"/>
      <c r="E19" s="6"/>
      <c r="F19" s="6"/>
      <c r="G19" s="6"/>
      <c r="H19" s="6"/>
    </row>
    <row r="20" customFormat="false" ht="13.5" hidden="false" customHeight="true" outlineLevel="0" collapsed="false">
      <c r="A20" s="5" t="s">
        <v>19</v>
      </c>
      <c r="B20" s="6" t="s">
        <v>20</v>
      </c>
      <c r="C20" s="6"/>
      <c r="D20" s="6"/>
      <c r="E20" s="6"/>
      <c r="F20" s="6"/>
      <c r="G20" s="6"/>
      <c r="H20" s="6"/>
    </row>
    <row r="21" customFormat="false" ht="13.5" hidden="false" customHeight="true" outlineLevel="0" collapsed="false">
      <c r="A21" s="5" t="s">
        <v>21</v>
      </c>
      <c r="B21" s="6" t="s">
        <v>16</v>
      </c>
      <c r="C21" s="6"/>
      <c r="D21" s="6"/>
      <c r="E21" s="6"/>
      <c r="F21" s="6"/>
      <c r="G21" s="6"/>
      <c r="H21" s="6"/>
    </row>
    <row r="22" customFormat="false" ht="13.5" hidden="false" customHeight="true" outlineLevel="0" collapsed="false">
      <c r="A22" s="5" t="s">
        <v>22</v>
      </c>
      <c r="B22" s="6" t="s">
        <v>23</v>
      </c>
      <c r="C22" s="6"/>
      <c r="D22" s="6"/>
      <c r="E22" s="6"/>
      <c r="F22" s="6"/>
      <c r="G22" s="6"/>
      <c r="H22" s="6"/>
    </row>
    <row r="23" customFormat="false" ht="13.5" hidden="false" customHeight="true" outlineLevel="0" collapsed="false">
      <c r="A23" s="5" t="s">
        <v>24</v>
      </c>
      <c r="B23" s="6" t="s">
        <v>25</v>
      </c>
      <c r="C23" s="6"/>
      <c r="D23" s="6"/>
      <c r="E23" s="6"/>
      <c r="F23" s="6"/>
      <c r="G23" s="6"/>
      <c r="H23" s="6"/>
    </row>
    <row r="24" customFormat="false" ht="13.5" hidden="false" customHeight="true" outlineLevel="0" collapsed="false">
      <c r="A24" s="5" t="s">
        <v>26</v>
      </c>
      <c r="B24" s="6" t="s">
        <v>27</v>
      </c>
      <c r="C24" s="6"/>
      <c r="D24" s="6"/>
      <c r="E24" s="6"/>
      <c r="F24" s="6"/>
      <c r="G24" s="6"/>
      <c r="H24" s="6"/>
    </row>
    <row r="25" customFormat="false" ht="13.5" hidden="false" customHeight="true" outlineLevel="0" collapsed="false">
      <c r="A25" s="5" t="s">
        <v>28</v>
      </c>
      <c r="B25" s="6" t="s">
        <v>29</v>
      </c>
      <c r="C25" s="6"/>
      <c r="D25" s="6"/>
      <c r="E25" s="6"/>
      <c r="F25" s="6"/>
      <c r="G25" s="6"/>
      <c r="H25" s="6"/>
    </row>
    <row r="26" customFormat="false" ht="13.5" hidden="false" customHeight="true" outlineLevel="0" collapsed="false">
      <c r="A26" s="5" t="s">
        <v>30</v>
      </c>
      <c r="B26" s="6" t="s">
        <v>31</v>
      </c>
      <c r="C26" s="6"/>
      <c r="D26" s="6"/>
      <c r="E26" s="6"/>
      <c r="F26" s="6"/>
      <c r="G26" s="6"/>
      <c r="H26" s="6"/>
    </row>
    <row r="27" customFormat="false" ht="13.5" hidden="false" customHeight="true" outlineLevel="0" collapsed="false">
      <c r="A27" s="5" t="s">
        <v>32</v>
      </c>
      <c r="B27" s="6" t="s">
        <v>33</v>
      </c>
      <c r="C27" s="6"/>
      <c r="D27" s="6"/>
      <c r="E27" s="6"/>
      <c r="F27" s="6"/>
      <c r="G27" s="6"/>
      <c r="H27" s="6"/>
    </row>
    <row r="32" customFormat="false" ht="15" hidden="false" customHeight="true" outlineLevel="0" collapsed="false">
      <c r="A32" s="7" t="s">
        <v>34</v>
      </c>
      <c r="B32" s="7"/>
      <c r="C32" s="7"/>
      <c r="D32" s="7"/>
      <c r="E32" s="7"/>
      <c r="F32" s="7"/>
      <c r="G32" s="7"/>
      <c r="H32" s="7"/>
    </row>
    <row r="33" customFormat="false" ht="24" hidden="false" customHeight="true" outlineLevel="0" collapsed="false">
      <c r="A33" s="8" t="s">
        <v>35</v>
      </c>
      <c r="B33" s="8"/>
      <c r="C33" s="8"/>
      <c r="D33" s="8"/>
      <c r="E33" s="8"/>
      <c r="F33" s="8"/>
      <c r="G33" s="8"/>
      <c r="H33" s="8"/>
    </row>
    <row r="34" customFormat="false" ht="24" hidden="false" customHeight="true" outlineLevel="0" collapsed="false">
      <c r="A34" s="8" t="s">
        <v>36</v>
      </c>
      <c r="B34" s="8"/>
      <c r="C34" s="8"/>
      <c r="D34" s="8"/>
      <c r="E34" s="8"/>
      <c r="F34" s="8"/>
      <c r="G34" s="8"/>
      <c r="H34" s="8"/>
    </row>
    <row r="36" customFormat="false" ht="15" hidden="false" customHeight="true" outlineLevel="0" collapsed="false">
      <c r="A36" s="9" t="s">
        <v>37</v>
      </c>
      <c r="B36" s="9"/>
      <c r="C36" s="9"/>
      <c r="D36" s="9"/>
      <c r="E36" s="9"/>
      <c r="F36" s="9"/>
      <c r="G36" s="9"/>
      <c r="H36" s="9"/>
    </row>
    <row r="37" customFormat="false" ht="13.5" hidden="false" customHeight="true" outlineLevel="0" collapsed="false">
      <c r="A37" s="10" t="s">
        <v>38</v>
      </c>
      <c r="B37" s="10"/>
      <c r="C37" s="10"/>
      <c r="D37" s="10"/>
      <c r="E37" s="10"/>
      <c r="F37" s="10"/>
      <c r="G37" s="10"/>
      <c r="H37" s="10"/>
    </row>
    <row r="38" customFormat="false" ht="13.5" hidden="false" customHeight="true" outlineLevel="0" collapsed="false">
      <c r="A38" s="10" t="s">
        <v>39</v>
      </c>
      <c r="B38" s="10"/>
      <c r="C38" s="10"/>
      <c r="D38" s="10"/>
      <c r="E38" s="10"/>
      <c r="F38" s="10"/>
      <c r="G38" s="10"/>
      <c r="H38" s="10"/>
    </row>
    <row r="39" customFormat="false" ht="13.5" hidden="false" customHeight="true" outlineLevel="0" collapsed="false">
      <c r="A39" s="10" t="s">
        <v>40</v>
      </c>
      <c r="B39" s="10"/>
      <c r="C39" s="10"/>
      <c r="D39" s="10"/>
      <c r="E39" s="10"/>
      <c r="F39" s="10"/>
      <c r="G39" s="10"/>
      <c r="H39" s="10"/>
    </row>
    <row r="40" customFormat="false" ht="13.5" hidden="false" customHeight="true" outlineLevel="0" collapsed="false">
      <c r="A40" s="10" t="s">
        <v>41</v>
      </c>
      <c r="B40" s="10"/>
      <c r="C40" s="10"/>
      <c r="D40" s="10"/>
      <c r="E40" s="10"/>
      <c r="F40" s="10"/>
      <c r="G40" s="10"/>
      <c r="H40" s="10"/>
    </row>
  </sheetData>
  <mergeCells count="26">
    <mergeCell ref="A7:H7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A32:H32"/>
    <mergeCell ref="A33:H33"/>
    <mergeCell ref="A34:H34"/>
    <mergeCell ref="A36:H36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Fictional Demonstration Data — not a contractual communication&amp;R&amp;7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4"/>
    <col collapsed="false" customWidth="true" hidden="false" outlineLevel="0" max="6" min="4" style="0" width="20"/>
  </cols>
  <sheetData>
    <row r="1" customFormat="false" ht="15" hidden="false" customHeight="false" outlineLevel="0" collapsed="false">
      <c r="A1" s="11" t="s">
        <v>0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12" t="s">
        <v>42</v>
      </c>
      <c r="B2" s="12"/>
      <c r="C2" s="12"/>
      <c r="D2" s="12"/>
      <c r="E2" s="12"/>
      <c r="F2" s="1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3.75" hidden="false" customHeight="true" outlineLevel="0" collapsed="false">
      <c r="A4" s="4"/>
      <c r="B4" s="4"/>
      <c r="C4" s="4"/>
      <c r="D4" s="4"/>
      <c r="E4" s="4"/>
      <c r="F4" s="4"/>
    </row>
    <row r="6" customFormat="false" ht="21.75" hidden="false" customHeight="true" outlineLevel="0" collapsed="false">
      <c r="A6" s="13" t="s">
        <v>43</v>
      </c>
      <c r="B6" s="13"/>
      <c r="C6" s="13"/>
      <c r="D6" s="13"/>
      <c r="E6" s="13"/>
      <c r="F6" s="13"/>
    </row>
    <row r="8" customFormat="false" ht="24" hidden="false" customHeight="true" outlineLevel="0" collapsed="false">
      <c r="A8" s="14" t="s">
        <v>44</v>
      </c>
      <c r="B8" s="14"/>
      <c r="C8" s="14"/>
      <c r="D8" s="14"/>
      <c r="E8" s="14"/>
      <c r="F8" s="14"/>
    </row>
    <row r="9" customFormat="false" ht="24" hidden="false" customHeight="true" outlineLevel="0" collapsed="false">
      <c r="A9" s="14" t="s">
        <v>45</v>
      </c>
      <c r="B9" s="14"/>
      <c r="C9" s="14"/>
      <c r="D9" s="14"/>
      <c r="E9" s="14"/>
      <c r="F9" s="14"/>
    </row>
    <row r="11" customFormat="false" ht="21.75" hidden="false" customHeight="true" outlineLevel="0" collapsed="false">
      <c r="A11" s="13" t="s">
        <v>46</v>
      </c>
      <c r="B11" s="13"/>
      <c r="C11" s="13"/>
      <c r="D11" s="13"/>
      <c r="E11" s="13"/>
      <c r="F11" s="13"/>
    </row>
    <row r="13" customFormat="false" ht="13.5" hidden="false" customHeight="true" outlineLevel="0" collapsed="false">
      <c r="A13" s="15" t="s">
        <v>47</v>
      </c>
      <c r="B13" s="15"/>
      <c r="C13" s="15"/>
      <c r="D13" s="15"/>
      <c r="E13" s="15"/>
      <c r="F13" s="15"/>
    </row>
    <row r="14" customFormat="false" ht="13.5" hidden="false" customHeight="true" outlineLevel="0" collapsed="false">
      <c r="A14" s="15" t="s">
        <v>48</v>
      </c>
      <c r="B14" s="15"/>
      <c r="C14" s="15"/>
      <c r="D14" s="15"/>
      <c r="E14" s="15"/>
      <c r="F14" s="15"/>
    </row>
    <row r="15" customFormat="false" ht="13.5" hidden="false" customHeight="true" outlineLevel="0" collapsed="false">
      <c r="A15" s="15" t="s">
        <v>49</v>
      </c>
      <c r="B15" s="15"/>
      <c r="C15" s="15"/>
      <c r="D15" s="15"/>
      <c r="E15" s="15"/>
      <c r="F15" s="15"/>
    </row>
    <row r="16" customFormat="false" ht="13.5" hidden="false" customHeight="true" outlineLevel="0" collapsed="false">
      <c r="A16" s="15" t="s">
        <v>50</v>
      </c>
      <c r="B16" s="15"/>
      <c r="C16" s="15"/>
      <c r="D16" s="15"/>
      <c r="E16" s="15"/>
      <c r="F16" s="15"/>
    </row>
    <row r="18" customFormat="false" ht="21.75" hidden="false" customHeight="true" outlineLevel="0" collapsed="false">
      <c r="A18" s="13" t="s">
        <v>51</v>
      </c>
      <c r="B18" s="13"/>
      <c r="C18" s="13"/>
      <c r="D18" s="13"/>
      <c r="E18" s="13"/>
      <c r="F18" s="13"/>
    </row>
    <row r="20" customFormat="false" ht="30" hidden="false" customHeight="true" outlineLevel="0" collapsed="false">
      <c r="A20" s="16" t="s">
        <v>52</v>
      </c>
      <c r="B20" s="16" t="s">
        <v>53</v>
      </c>
      <c r="C20" s="16" t="s">
        <v>54</v>
      </c>
      <c r="D20" s="16"/>
      <c r="E20" s="16"/>
      <c r="F20" s="16"/>
    </row>
    <row r="21" customFormat="false" ht="22.35" hidden="false" customHeight="false" outlineLevel="0" collapsed="false">
      <c r="A21" s="6" t="s">
        <v>55</v>
      </c>
      <c r="B21" s="6" t="s">
        <v>27</v>
      </c>
      <c r="C21" s="6" t="s">
        <v>56</v>
      </c>
      <c r="D21" s="6"/>
      <c r="E21" s="6"/>
      <c r="F21" s="6"/>
    </row>
    <row r="22" customFormat="false" ht="22.35" hidden="false" customHeight="false" outlineLevel="0" collapsed="false">
      <c r="A22" s="17" t="s">
        <v>57</v>
      </c>
      <c r="B22" s="17" t="s">
        <v>25</v>
      </c>
      <c r="C22" s="17" t="s">
        <v>58</v>
      </c>
      <c r="D22" s="17"/>
      <c r="E22" s="17"/>
      <c r="F22" s="17"/>
    </row>
    <row r="23" customFormat="false" ht="22.35" hidden="false" customHeight="false" outlineLevel="0" collapsed="false">
      <c r="A23" s="6" t="s">
        <v>59</v>
      </c>
      <c r="B23" s="6" t="s">
        <v>60</v>
      </c>
      <c r="C23" s="6" t="s">
        <v>61</v>
      </c>
      <c r="D23" s="6"/>
      <c r="E23" s="6"/>
      <c r="F23" s="6"/>
    </row>
    <row r="24" customFormat="false" ht="22.35" hidden="false" customHeight="false" outlineLevel="0" collapsed="false">
      <c r="A24" s="17" t="s">
        <v>62</v>
      </c>
      <c r="B24" s="17" t="s">
        <v>63</v>
      </c>
      <c r="C24" s="17" t="s">
        <v>64</v>
      </c>
      <c r="D24" s="17"/>
      <c r="E24" s="17"/>
      <c r="F24" s="17"/>
    </row>
    <row r="26" customFormat="false" ht="21.75" hidden="false" customHeight="true" outlineLevel="0" collapsed="false">
      <c r="A26" s="13" t="s">
        <v>65</v>
      </c>
      <c r="B26" s="13"/>
      <c r="C26" s="13"/>
      <c r="D26" s="13"/>
      <c r="E26" s="13"/>
      <c r="F26" s="13"/>
    </row>
    <row r="28" customFormat="false" ht="13.5" hidden="false" customHeight="true" outlineLevel="0" collapsed="false">
      <c r="A28" s="15" t="s">
        <v>66</v>
      </c>
      <c r="B28" s="15"/>
      <c r="C28" s="15"/>
      <c r="D28" s="15"/>
      <c r="E28" s="15"/>
      <c r="F28" s="15"/>
    </row>
    <row r="29" customFormat="false" ht="13.5" hidden="false" customHeight="true" outlineLevel="0" collapsed="false">
      <c r="A29" s="15" t="s">
        <v>67</v>
      </c>
      <c r="B29" s="15"/>
      <c r="C29" s="15"/>
      <c r="D29" s="15"/>
      <c r="E29" s="15"/>
      <c r="F29" s="15"/>
    </row>
    <row r="30" customFormat="false" ht="13.5" hidden="false" customHeight="true" outlineLevel="0" collapsed="false">
      <c r="A30" s="15" t="s">
        <v>68</v>
      </c>
      <c r="B30" s="15"/>
      <c r="C30" s="15"/>
      <c r="D30" s="15"/>
      <c r="E30" s="15"/>
      <c r="F30" s="15"/>
    </row>
    <row r="31" customFormat="false" ht="13.5" hidden="false" customHeight="true" outlineLevel="0" collapsed="false">
      <c r="A31" s="15" t="s">
        <v>69</v>
      </c>
      <c r="B31" s="15"/>
      <c r="C31" s="15"/>
      <c r="D31" s="15"/>
      <c r="E31" s="15"/>
      <c r="F31" s="15"/>
    </row>
    <row r="32" customFormat="false" ht="13.5" hidden="false" customHeight="true" outlineLevel="0" collapsed="false">
      <c r="A32" s="15" t="s">
        <v>70</v>
      </c>
      <c r="B32" s="15"/>
      <c r="C32" s="15"/>
      <c r="D32" s="15"/>
      <c r="E32" s="15"/>
      <c r="F32" s="15"/>
    </row>
    <row r="33" customFormat="false" ht="24" hidden="false" customHeight="true" outlineLevel="0" collapsed="false">
      <c r="A33" s="15" t="s">
        <v>71</v>
      </c>
      <c r="B33" s="15"/>
      <c r="C33" s="15"/>
      <c r="D33" s="15"/>
      <c r="E33" s="15"/>
      <c r="F33" s="15"/>
    </row>
    <row r="34" customFormat="false" ht="13.5" hidden="false" customHeight="true" outlineLevel="0" collapsed="false">
      <c r="A34" s="15" t="s">
        <v>72</v>
      </c>
      <c r="B34" s="15"/>
      <c r="C34" s="15"/>
      <c r="D34" s="15"/>
      <c r="E34" s="15"/>
      <c r="F34" s="15"/>
    </row>
    <row r="36" customFormat="false" ht="21.75" hidden="false" customHeight="true" outlineLevel="0" collapsed="false">
      <c r="A36" s="13" t="s">
        <v>73</v>
      </c>
      <c r="B36" s="13"/>
      <c r="C36" s="13"/>
      <c r="D36" s="13"/>
      <c r="E36" s="13"/>
      <c r="F36" s="13"/>
    </row>
    <row r="38" customFormat="false" ht="30" hidden="false" customHeight="true" outlineLevel="0" collapsed="false">
      <c r="A38" s="16" t="s">
        <v>74</v>
      </c>
      <c r="B38" s="16" t="s">
        <v>75</v>
      </c>
      <c r="C38" s="16" t="s">
        <v>76</v>
      </c>
      <c r="D38" s="16"/>
      <c r="E38" s="16"/>
      <c r="F38" s="16"/>
    </row>
    <row r="39" customFormat="false" ht="22.35" hidden="false" customHeight="false" outlineLevel="0" collapsed="false">
      <c r="A39" s="6" t="s">
        <v>77</v>
      </c>
      <c r="B39" s="6" t="s">
        <v>78</v>
      </c>
      <c r="C39" s="6" t="s">
        <v>79</v>
      </c>
      <c r="D39" s="6"/>
      <c r="E39" s="6"/>
      <c r="F39" s="6"/>
    </row>
    <row r="40" customFormat="false" ht="15" hidden="false" customHeight="false" outlineLevel="0" collapsed="false">
      <c r="A40" s="17" t="s">
        <v>80</v>
      </c>
      <c r="B40" s="17" t="s">
        <v>81</v>
      </c>
      <c r="C40" s="17" t="s">
        <v>79</v>
      </c>
      <c r="D40" s="17"/>
      <c r="E40" s="17"/>
      <c r="F40" s="17"/>
    </row>
    <row r="41" customFormat="false" ht="15" hidden="false" customHeight="false" outlineLevel="0" collapsed="false">
      <c r="A41" s="6" t="s">
        <v>82</v>
      </c>
      <c r="B41" s="6" t="s">
        <v>83</v>
      </c>
      <c r="C41" s="6" t="s">
        <v>79</v>
      </c>
      <c r="D41" s="6"/>
      <c r="E41" s="6"/>
      <c r="F41" s="6"/>
    </row>
    <row r="42" customFormat="false" ht="15" hidden="false" customHeight="false" outlineLevel="0" collapsed="false">
      <c r="A42" s="17" t="s">
        <v>84</v>
      </c>
      <c r="B42" s="17" t="s">
        <v>85</v>
      </c>
      <c r="C42" s="17" t="s">
        <v>79</v>
      </c>
      <c r="D42" s="17"/>
      <c r="E42" s="17"/>
      <c r="F42" s="17"/>
    </row>
    <row r="43" customFormat="false" ht="22.35" hidden="false" customHeight="false" outlineLevel="0" collapsed="false">
      <c r="A43" s="6" t="s">
        <v>86</v>
      </c>
      <c r="B43" s="6" t="s">
        <v>87</v>
      </c>
      <c r="C43" s="6" t="s">
        <v>79</v>
      </c>
      <c r="D43" s="6"/>
      <c r="E43" s="6"/>
      <c r="F43" s="6"/>
    </row>
    <row r="44" customFormat="false" ht="22.35" hidden="false" customHeight="false" outlineLevel="0" collapsed="false">
      <c r="A44" s="17" t="s">
        <v>88</v>
      </c>
      <c r="B44" s="17" t="s">
        <v>89</v>
      </c>
      <c r="C44" s="17" t="s">
        <v>79</v>
      </c>
      <c r="D44" s="17"/>
      <c r="E44" s="17"/>
      <c r="F44" s="17"/>
    </row>
    <row r="45" customFormat="false" ht="15" hidden="false" customHeight="false" outlineLevel="0" collapsed="false">
      <c r="A45" s="6" t="s">
        <v>90</v>
      </c>
      <c r="B45" s="6" t="s">
        <v>91</v>
      </c>
      <c r="C45" s="6" t="s">
        <v>79</v>
      </c>
      <c r="D45" s="6"/>
      <c r="E45" s="6"/>
      <c r="F45" s="6"/>
    </row>
    <row r="47" customFormat="false" ht="21.75" hidden="false" customHeight="true" outlineLevel="0" collapsed="false">
      <c r="A47" s="13" t="s">
        <v>92</v>
      </c>
      <c r="B47" s="13"/>
      <c r="C47" s="13"/>
      <c r="D47" s="13"/>
      <c r="E47" s="13"/>
      <c r="F47" s="13"/>
    </row>
    <row r="49" customFormat="false" ht="13.5" hidden="false" customHeight="true" outlineLevel="0" collapsed="false">
      <c r="A49" s="15" t="s">
        <v>93</v>
      </c>
      <c r="B49" s="15"/>
      <c r="C49" s="15"/>
      <c r="D49" s="15"/>
      <c r="E49" s="15"/>
      <c r="F49" s="15"/>
    </row>
    <row r="50" customFormat="false" ht="13.5" hidden="false" customHeight="true" outlineLevel="0" collapsed="false">
      <c r="A50" s="15" t="s">
        <v>94</v>
      </c>
      <c r="B50" s="15"/>
      <c r="C50" s="15"/>
      <c r="D50" s="15"/>
      <c r="E50" s="15"/>
      <c r="F50" s="15"/>
    </row>
    <row r="51" customFormat="false" ht="13.5" hidden="false" customHeight="true" outlineLevel="0" collapsed="false">
      <c r="A51" s="15" t="s">
        <v>95</v>
      </c>
      <c r="B51" s="15"/>
      <c r="C51" s="15"/>
      <c r="D51" s="15"/>
      <c r="E51" s="15"/>
      <c r="F51" s="15"/>
    </row>
    <row r="52" customFormat="false" ht="13.5" hidden="false" customHeight="true" outlineLevel="0" collapsed="false">
      <c r="A52" s="15" t="s">
        <v>96</v>
      </c>
      <c r="B52" s="15"/>
      <c r="C52" s="15"/>
      <c r="D52" s="15"/>
      <c r="E52" s="15"/>
      <c r="F52" s="15"/>
    </row>
    <row r="53" customFormat="false" ht="24" hidden="false" customHeight="true" outlineLevel="0" collapsed="false">
      <c r="A53" s="15" t="s">
        <v>97</v>
      </c>
      <c r="B53" s="15"/>
      <c r="C53" s="15"/>
      <c r="D53" s="15"/>
      <c r="E53" s="15"/>
      <c r="F53" s="15"/>
    </row>
    <row r="55" customFormat="false" ht="21.75" hidden="false" customHeight="true" outlineLevel="0" collapsed="false">
      <c r="A55" s="13" t="s">
        <v>98</v>
      </c>
      <c r="B55" s="13"/>
      <c r="C55" s="13"/>
      <c r="D55" s="13"/>
      <c r="E55" s="13"/>
      <c r="F55" s="13"/>
    </row>
    <row r="57" customFormat="false" ht="30" hidden="false" customHeight="true" outlineLevel="0" collapsed="false">
      <c r="A57" s="16" t="s">
        <v>99</v>
      </c>
      <c r="B57" s="16" t="s">
        <v>100</v>
      </c>
      <c r="C57" s="16" t="s">
        <v>101</v>
      </c>
      <c r="D57" s="16"/>
      <c r="E57" s="16"/>
      <c r="F57" s="16"/>
    </row>
    <row r="58" customFormat="false" ht="22.35" hidden="false" customHeight="false" outlineLevel="0" collapsed="false">
      <c r="A58" s="6" t="s">
        <v>102</v>
      </c>
      <c r="B58" s="6" t="s">
        <v>31</v>
      </c>
      <c r="C58" s="6" t="s">
        <v>103</v>
      </c>
      <c r="D58" s="6"/>
      <c r="E58" s="6"/>
      <c r="F58" s="6"/>
    </row>
    <row r="59" customFormat="false" ht="32.8" hidden="false" customHeight="false" outlineLevel="0" collapsed="false">
      <c r="A59" s="17" t="s">
        <v>104</v>
      </c>
      <c r="B59" s="17" t="s">
        <v>105</v>
      </c>
      <c r="C59" s="17" t="s">
        <v>106</v>
      </c>
      <c r="D59" s="17"/>
      <c r="E59" s="17"/>
      <c r="F59" s="17"/>
    </row>
    <row r="60" customFormat="false" ht="32.8" hidden="false" customHeight="false" outlineLevel="0" collapsed="false">
      <c r="A60" s="6" t="s">
        <v>107</v>
      </c>
      <c r="B60" s="6" t="s">
        <v>33</v>
      </c>
      <c r="C60" s="6" t="s">
        <v>108</v>
      </c>
      <c r="D60" s="6"/>
      <c r="E60" s="6"/>
      <c r="F60" s="6"/>
    </row>
    <row r="62" customFormat="false" ht="21.75" hidden="false" customHeight="true" outlineLevel="0" collapsed="false">
      <c r="A62" s="13" t="s">
        <v>109</v>
      </c>
      <c r="B62" s="13"/>
      <c r="C62" s="13"/>
      <c r="D62" s="13"/>
      <c r="E62" s="13"/>
      <c r="F62" s="13"/>
    </row>
    <row r="64" customFormat="false" ht="15" hidden="false" customHeight="true" outlineLevel="0" collapsed="false">
      <c r="A64" s="7" t="s">
        <v>110</v>
      </c>
      <c r="B64" s="7"/>
      <c r="C64" s="7"/>
      <c r="D64" s="7"/>
      <c r="E64" s="7"/>
      <c r="F64" s="7"/>
    </row>
    <row r="65" customFormat="false" ht="24" hidden="false" customHeight="true" outlineLevel="0" collapsed="false">
      <c r="A65" s="8" t="s">
        <v>111</v>
      </c>
      <c r="B65" s="8"/>
      <c r="C65" s="8"/>
      <c r="D65" s="8"/>
      <c r="E65" s="8"/>
      <c r="F65" s="8"/>
    </row>
    <row r="66" customFormat="false" ht="36" hidden="false" customHeight="true" outlineLevel="0" collapsed="false">
      <c r="A66" s="8" t="s">
        <v>112</v>
      </c>
      <c r="B66" s="8"/>
      <c r="C66" s="8"/>
      <c r="D66" s="8"/>
      <c r="E66" s="8"/>
      <c r="F66" s="8"/>
    </row>
    <row r="67" customFormat="false" ht="24" hidden="false" customHeight="true" outlineLevel="0" collapsed="false">
      <c r="A67" s="8" t="s">
        <v>113</v>
      </c>
      <c r="B67" s="8"/>
      <c r="C67" s="8"/>
      <c r="D67" s="8"/>
      <c r="E67" s="8"/>
      <c r="F67" s="8"/>
    </row>
  </sheetData>
  <mergeCells count="33">
    <mergeCell ref="A1:F1"/>
    <mergeCell ref="A2:F2"/>
    <mergeCell ref="A3:F3"/>
    <mergeCell ref="A6:F6"/>
    <mergeCell ref="A8:F8"/>
    <mergeCell ref="A9:F9"/>
    <mergeCell ref="A11:F11"/>
    <mergeCell ref="A13:F13"/>
    <mergeCell ref="A14:F14"/>
    <mergeCell ref="A15:F15"/>
    <mergeCell ref="A16:F16"/>
    <mergeCell ref="A18:F18"/>
    <mergeCell ref="A26:F26"/>
    <mergeCell ref="A28:F28"/>
    <mergeCell ref="A29:F29"/>
    <mergeCell ref="A30:F30"/>
    <mergeCell ref="A31:F31"/>
    <mergeCell ref="A32:F32"/>
    <mergeCell ref="A33:F33"/>
    <mergeCell ref="A34:F34"/>
    <mergeCell ref="A36:F36"/>
    <mergeCell ref="A47:F47"/>
    <mergeCell ref="A49:F49"/>
    <mergeCell ref="A50:F50"/>
    <mergeCell ref="A51:F51"/>
    <mergeCell ref="A52:F52"/>
    <mergeCell ref="A53:F53"/>
    <mergeCell ref="A55:F55"/>
    <mergeCell ref="A62:F62"/>
    <mergeCell ref="A64:F64"/>
    <mergeCell ref="A65:F65"/>
    <mergeCell ref="A66:F66"/>
    <mergeCell ref="A67:F6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Fictional Demonstration Data — not a contractual communication&amp;R&amp;7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1" t="s">
        <v>0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114</v>
      </c>
      <c r="B2" s="12"/>
      <c r="C2" s="12"/>
      <c r="D2" s="12"/>
      <c r="E2" s="12"/>
    </row>
    <row r="3" customFormat="false" ht="27.75" hidden="false" customHeight="true" outlineLevel="0" collapsed="false">
      <c r="A3" s="3" t="s">
        <v>115</v>
      </c>
      <c r="B3" s="3"/>
      <c r="C3" s="3"/>
      <c r="D3" s="3"/>
      <c r="E3" s="3"/>
    </row>
    <row r="4" customFormat="false" ht="3.75" hidden="false" customHeight="true" outlineLevel="0" collapsed="false">
      <c r="A4" s="4"/>
      <c r="B4" s="4"/>
      <c r="C4" s="4"/>
      <c r="D4" s="4"/>
      <c r="E4" s="4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</row>
    <row r="7" customFormat="false" ht="24" hidden="false" customHeight="true" outlineLevel="0" collapsed="false">
      <c r="A7" s="10" t="s">
        <v>116</v>
      </c>
      <c r="B7" s="10"/>
      <c r="C7" s="10"/>
      <c r="D7" s="10"/>
      <c r="E7" s="10"/>
    </row>
    <row r="8" customFormat="false" ht="24" hidden="false" customHeight="true" outlineLevel="0" collapsed="false">
      <c r="A8" s="10" t="s">
        <v>117</v>
      </c>
      <c r="B8" s="10"/>
      <c r="C8" s="10"/>
      <c r="D8" s="10"/>
      <c r="E8" s="10"/>
    </row>
    <row r="9" customFormat="false" ht="13.5" hidden="false" customHeight="true" outlineLevel="0" collapsed="false">
      <c r="A9" s="10" t="s">
        <v>118</v>
      </c>
      <c r="B9" s="10"/>
      <c r="C9" s="10"/>
      <c r="D9" s="10"/>
      <c r="E9" s="10"/>
    </row>
    <row r="11" customFormat="false" ht="15" hidden="false" customHeight="true" outlineLevel="0" collapsed="false">
      <c r="A11" s="18" t="s">
        <v>119</v>
      </c>
      <c r="B11" s="18"/>
      <c r="C11" s="18"/>
      <c r="D11" s="18"/>
      <c r="E11" s="18"/>
    </row>
    <row r="12" customFormat="false" ht="13.5" hidden="false" customHeight="true" outlineLevel="0" collapsed="false">
      <c r="A12" s="19" t="s">
        <v>120</v>
      </c>
      <c r="B12" s="19"/>
      <c r="C12" s="19"/>
      <c r="D12" s="19"/>
      <c r="E12" s="19"/>
    </row>
    <row r="13" customFormat="false" ht="24" hidden="false" customHeight="true" outlineLevel="0" collapsed="false">
      <c r="A13" s="19" t="s">
        <v>121</v>
      </c>
      <c r="B13" s="19"/>
      <c r="C13" s="19"/>
      <c r="D13" s="19"/>
      <c r="E13" s="19"/>
    </row>
    <row r="15" customFormat="false" ht="15" hidden="false" customHeight="false" outlineLevel="0" collapsed="false">
      <c r="A15" s="20" t="s">
        <v>122</v>
      </c>
      <c r="B15" s="21" t="s">
        <v>123</v>
      </c>
    </row>
    <row r="16" customFormat="false" ht="15" hidden="false" customHeight="false" outlineLevel="0" collapsed="false">
      <c r="A16" s="20" t="s">
        <v>21</v>
      </c>
      <c r="B16" s="21" t="s">
        <v>123</v>
      </c>
    </row>
    <row r="18" customFormat="false" ht="30" hidden="false" customHeight="true" outlineLevel="0" collapsed="false">
      <c r="A18" s="16" t="s">
        <v>124</v>
      </c>
      <c r="B18" s="16" t="s">
        <v>125</v>
      </c>
      <c r="C18" s="16" t="s">
        <v>126</v>
      </c>
      <c r="D18" s="16" t="s">
        <v>127</v>
      </c>
      <c r="E18" s="16" t="s">
        <v>128</v>
      </c>
    </row>
    <row r="19" customFormat="false" ht="15" hidden="false" customHeight="false" outlineLevel="0" collapsed="false">
      <c r="A19" s="22" t="s">
        <v>129</v>
      </c>
      <c r="B19" s="23" t="n">
        <v>2</v>
      </c>
      <c r="C19" s="6" t="str">
        <f aca="false">IF(B19=0,"CRITICAL FAILURE",IF(B19=1,"BOUNDED LIMITATION",IF(B19=2,"PASS","INVALID SCORE")))</f>
        <v>PASS</v>
      </c>
      <c r="D19" s="24" t="str">
        <f aca="false">IF(B19=0,"Yes","No")</f>
        <v>No</v>
      </c>
      <c r="E19" s="25"/>
    </row>
    <row r="20" customFormat="false" ht="15" hidden="false" customHeight="false" outlineLevel="0" collapsed="false">
      <c r="A20" s="22" t="s">
        <v>130</v>
      </c>
      <c r="B20" s="23" t="n">
        <v>2</v>
      </c>
      <c r="C20" s="6" t="str">
        <f aca="false">IF(B20=0,"CRITICAL FAILURE",IF(B20=1,"BOUNDED LIMITATION",IF(B20=2,"PASS","INVALID SCORE")))</f>
        <v>PASS</v>
      </c>
      <c r="D20" s="24" t="str">
        <f aca="false">IF(B20=0,"Yes","No")</f>
        <v>No</v>
      </c>
      <c r="E20" s="25"/>
    </row>
    <row r="21" customFormat="false" ht="15" hidden="false" customHeight="false" outlineLevel="0" collapsed="false">
      <c r="A21" s="22" t="s">
        <v>131</v>
      </c>
      <c r="B21" s="23" t="n">
        <v>2</v>
      </c>
      <c r="C21" s="6" t="str">
        <f aca="false">IF(B21=0,"CRITICAL FAILURE",IF(B21=1,"BOUNDED LIMITATION",IF(B21=2,"PASS","INVALID SCORE")))</f>
        <v>PASS</v>
      </c>
      <c r="D21" s="24" t="str">
        <f aca="false">IF(B21=0,"Yes","No")</f>
        <v>No</v>
      </c>
      <c r="E21" s="25"/>
    </row>
    <row r="22" customFormat="false" ht="15" hidden="false" customHeight="false" outlineLevel="0" collapsed="false">
      <c r="A22" s="22" t="s">
        <v>132</v>
      </c>
      <c r="B22" s="23" t="n">
        <v>2</v>
      </c>
      <c r="C22" s="6" t="str">
        <f aca="false">IF(B22=0,"CRITICAL FAILURE",IF(B22=1,"BOUNDED LIMITATION",IF(B22=2,"PASS","INVALID SCORE")))</f>
        <v>PASS</v>
      </c>
      <c r="D22" s="24" t="str">
        <f aca="false">IF(B22=0,"Yes","No")</f>
        <v>No</v>
      </c>
      <c r="E22" s="25"/>
    </row>
    <row r="24" customFormat="false" ht="15" hidden="false" customHeight="false" outlineLevel="0" collapsed="false">
      <c r="A24" s="5" t="s">
        <v>133</v>
      </c>
      <c r="B24" s="26" t="n">
        <f aca="false">SUM(B19:B22)</f>
        <v>8</v>
      </c>
      <c r="C24" s="26"/>
      <c r="D24" s="26"/>
      <c r="E24" s="26"/>
    </row>
    <row r="25" customFormat="false" ht="15" hidden="false" customHeight="false" outlineLevel="0" collapsed="false">
      <c r="A25" s="5" t="s">
        <v>134</v>
      </c>
      <c r="B25" s="26" t="n">
        <f aca="false">COUNT(B19:B22)*2</f>
        <v>8</v>
      </c>
      <c r="C25" s="26"/>
      <c r="D25" s="26"/>
      <c r="E25" s="26"/>
    </row>
    <row r="26" customFormat="false" ht="15" hidden="false" customHeight="false" outlineLevel="0" collapsed="false">
      <c r="A26" s="5" t="s">
        <v>135</v>
      </c>
      <c r="B26" s="26" t="n">
        <f aca="false">COUNTIF(B19:B22,0)</f>
        <v>0</v>
      </c>
      <c r="C26" s="26"/>
      <c r="D26" s="26"/>
      <c r="E26" s="26"/>
    </row>
    <row r="27" customFormat="false" ht="15" hidden="false" customHeight="false" outlineLevel="0" collapsed="false">
      <c r="A27" s="5" t="s">
        <v>136</v>
      </c>
      <c r="B27" s="26" t="str">
        <f aca="false">IF(COUNTIF(B19:B22,0)=0,"NONE",SUBSTITUTE(TRIM(IF(B19=0,"T1 ","")&amp;IF(B20=0,"T2 ","")&amp;IF(B21=0,"T3 ","")&amp;IF(B22=0,"T4 ",""))," ",", "))</f>
        <v>NONE</v>
      </c>
      <c r="C27" s="26"/>
      <c r="D27" s="26"/>
      <c r="E27" s="26"/>
    </row>
    <row r="28" customFormat="false" ht="15" hidden="false" customHeight="false" outlineLevel="0" collapsed="false">
      <c r="A28" s="5" t="s">
        <v>137</v>
      </c>
      <c r="B28" s="26" t="str">
        <f aca="false">IF(COUNTIF(B19:B22,0)&gt;0,"YES - a score of 0 determines the route irrespective of the total","NO - no critical failure recorded")</f>
        <v>NO - no critical failure recorded</v>
      </c>
      <c r="C28" s="26"/>
      <c r="D28" s="26"/>
      <c r="E28" s="26"/>
    </row>
    <row r="29" customFormat="false" ht="15" hidden="false" customHeight="false" outlineLevel="0" collapsed="false">
      <c r="A29" s="5" t="s">
        <v>138</v>
      </c>
      <c r="B29" s="26" t="str">
        <f aca="false">IF(SUMPRODUCT(--(B19:B22&gt;=0),--(B19:B22&lt;=2),--(B19:B22=INT(B19:B22)))=COUNT(B19:B22),"OK - all scores are 2, 1 or 0","INVALID - a score outside 2 / 1 / 0 has been entered")</f>
        <v>OK - all scores are 2, 1 or 0</v>
      </c>
      <c r="C29" s="26"/>
      <c r="D29" s="26"/>
      <c r="E29" s="26"/>
    </row>
    <row r="31" customFormat="false" ht="15" hidden="false" customHeight="false" outlineLevel="0" collapsed="false">
      <c r="A31" s="5" t="s">
        <v>139</v>
      </c>
      <c r="B31" s="27" t="s">
        <v>123</v>
      </c>
      <c r="C31" s="27"/>
      <c r="D31" s="27"/>
      <c r="E31" s="27"/>
    </row>
    <row r="32" customFormat="false" ht="15" hidden="false" customHeight="true" outlineLevel="0" collapsed="false">
      <c r="A32" s="5" t="s">
        <v>140</v>
      </c>
      <c r="B32" s="28" t="s">
        <v>141</v>
      </c>
      <c r="C32" s="28"/>
      <c r="D32" s="28"/>
      <c r="E32" s="28"/>
    </row>
    <row r="34" customFormat="false" ht="22.35" hidden="false" customHeight="false" outlineLevel="0" collapsed="false">
      <c r="A34" s="29" t="s">
        <v>142</v>
      </c>
      <c r="B34" s="26" t="str">
        <f aca="false">IF(AND(COUNTIF(B19:B22,0)&gt;0,B31="READY WITH CONDITIONS"),"FAIL - a critical failure is recorded, so a ready route is not available","OK")</f>
        <v>OK</v>
      </c>
      <c r="C34" s="26"/>
      <c r="D34" s="26"/>
      <c r="E34" s="26"/>
    </row>
    <row r="35" customFormat="false" ht="22.35" hidden="false" customHeight="false" outlineLevel="0" collapsed="false">
      <c r="A35" s="29" t="s">
        <v>143</v>
      </c>
      <c r="B35" s="26" t="str">
        <f aca="false">IF(AND(B22=0,B31&lt;&gt;"REFER TO PROJECT MANAGER"),"FAIL - a reserved-authority failure at T4 takes first priority in the configured route hierarchy","OK")</f>
        <v>OK</v>
      </c>
      <c r="C35" s="26"/>
      <c r="D35" s="26"/>
      <c r="E35" s="26"/>
    </row>
    <row r="36" customFormat="false" ht="22.35" hidden="false" customHeight="false" outlineLevel="0" collapsed="false">
      <c r="A36" s="29" t="s">
        <v>144</v>
      </c>
      <c r="B36" s="26" t="str">
        <f aca="false">IF(AND(COUNTIF(B19:B22,0)=0,OR(B31="STOP / RECONCILE",B31="REWORK EVIDENCE PACK")),"CHECK - a restrictive route is recorded with no critical failure; confirm the basis","OK")</f>
        <v>OK</v>
      </c>
      <c r="C36" s="26"/>
      <c r="D36" s="26"/>
      <c r="E36" s="26"/>
    </row>
    <row r="37" customFormat="false" ht="15" hidden="false" customHeight="false" outlineLevel="0" collapsed="false">
      <c r="A37" s="29" t="s">
        <v>145</v>
      </c>
      <c r="B37" s="26" t="str">
        <f aca="false">IF(AND(COUNTIF(B19:B22,0)=0,B31="READY WITH CONDITIONS"),"May be recommended as ready with conditions, subject to the accountable decision owner","Not available as an unqualified ready recommendation - refer to the recorded route and basis")</f>
        <v>Not available as an unqualified ready recommendation - refer to the recorded route and basis</v>
      </c>
      <c r="C37" s="26"/>
      <c r="D37" s="26"/>
      <c r="E37" s="26"/>
    </row>
    <row r="39" customFormat="false" ht="15" hidden="false" customHeight="true" outlineLevel="0" collapsed="false">
      <c r="A39" s="30" t="s">
        <v>146</v>
      </c>
      <c r="B39" s="30"/>
      <c r="C39" s="30"/>
      <c r="D39" s="30"/>
      <c r="E39" s="30"/>
    </row>
    <row r="40" customFormat="false" ht="24" hidden="false" customHeight="true" outlineLevel="0" collapsed="false">
      <c r="A40" s="31" t="s">
        <v>147</v>
      </c>
      <c r="B40" s="31"/>
      <c r="C40" s="31"/>
      <c r="D40" s="31"/>
      <c r="E40" s="31"/>
    </row>
    <row r="41" customFormat="false" ht="24" hidden="false" customHeight="true" outlineLevel="0" collapsed="false">
      <c r="A41" s="31" t="s">
        <v>148</v>
      </c>
      <c r="B41" s="31"/>
      <c r="C41" s="31"/>
      <c r="D41" s="31"/>
      <c r="E41" s="31"/>
    </row>
    <row r="42" customFormat="false" ht="24" hidden="false" customHeight="true" outlineLevel="0" collapsed="false">
      <c r="A42" s="31" t="s">
        <v>149</v>
      </c>
      <c r="B42" s="31"/>
      <c r="C42" s="31"/>
      <c r="D42" s="31"/>
      <c r="E42" s="31"/>
    </row>
    <row r="44" customFormat="false" ht="25.5" hidden="false" customHeight="true" outlineLevel="0" collapsed="false">
      <c r="A44" s="32" t="s">
        <v>150</v>
      </c>
      <c r="B44" s="32"/>
      <c r="C44" s="32"/>
      <c r="D44" s="32"/>
      <c r="E44" s="32"/>
    </row>
  </sheetData>
  <mergeCells count="27">
    <mergeCell ref="A1:E1"/>
    <mergeCell ref="A2:E2"/>
    <mergeCell ref="A3:E3"/>
    <mergeCell ref="A6:E6"/>
    <mergeCell ref="A7:E7"/>
    <mergeCell ref="A8:E8"/>
    <mergeCell ref="A9:E9"/>
    <mergeCell ref="A11:E11"/>
    <mergeCell ref="A12:E12"/>
    <mergeCell ref="A13:E13"/>
    <mergeCell ref="B24:E24"/>
    <mergeCell ref="B25:E25"/>
    <mergeCell ref="B26:E26"/>
    <mergeCell ref="B27:E27"/>
    <mergeCell ref="B28:E28"/>
    <mergeCell ref="B29:E29"/>
    <mergeCell ref="B31:E31"/>
    <mergeCell ref="B32:E32"/>
    <mergeCell ref="B34:E34"/>
    <mergeCell ref="B35:E35"/>
    <mergeCell ref="B36:E36"/>
    <mergeCell ref="B37:E37"/>
    <mergeCell ref="A39:E39"/>
    <mergeCell ref="A40:E40"/>
    <mergeCell ref="A41:E41"/>
    <mergeCell ref="A42:E42"/>
    <mergeCell ref="A44:E44"/>
  </mergeCells>
  <dataValidations count="1">
    <dataValidation allowBlank="true" errorStyle="stop" operator="between" showDropDown="false" showErrorMessage="false" showInputMessage="false" sqref="B31" type="list">
      <formula1>"READY WITH CONDITIONS,REWORK EVIDENCE PACK,STOP / RECONCILE,REFER TO PROJECT MANAGER,STOP / ESCALATE"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Fictional Demonstration Data — not a contractual communication&amp;R&amp;7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24"/>
  </cols>
  <sheetData>
    <row r="1" customFormat="false" ht="15" hidden="false" customHeight="false" outlineLevel="0" collapsed="false">
      <c r="A1" s="11" t="s">
        <v>0</v>
      </c>
      <c r="B1" s="11"/>
      <c r="C1" s="11"/>
      <c r="D1" s="11"/>
      <c r="E1" s="11"/>
    </row>
    <row r="2" customFormat="false" ht="25.5" hidden="false" customHeight="true" outlineLevel="0" collapsed="false">
      <c r="A2" s="12" t="s">
        <v>151</v>
      </c>
      <c r="B2" s="12"/>
      <c r="C2" s="12"/>
      <c r="D2" s="12"/>
      <c r="E2" s="12"/>
    </row>
    <row r="3" customFormat="false" ht="27.75" hidden="false" customHeight="true" outlineLevel="0" collapsed="false">
      <c r="A3" s="3" t="s">
        <v>152</v>
      </c>
      <c r="B3" s="3"/>
      <c r="C3" s="3"/>
      <c r="D3" s="3"/>
      <c r="E3" s="3"/>
    </row>
    <row r="4" customFormat="false" ht="3.75" hidden="false" customHeight="true" outlineLevel="0" collapsed="false">
      <c r="A4" s="4"/>
      <c r="B4" s="4"/>
      <c r="C4" s="4"/>
      <c r="D4" s="4"/>
      <c r="E4" s="4"/>
    </row>
    <row r="6" customFormat="false" ht="15" hidden="false" customHeight="true" outlineLevel="0" collapsed="false">
      <c r="A6" s="30" t="s">
        <v>153</v>
      </c>
      <c r="B6" s="30"/>
      <c r="C6" s="30"/>
      <c r="D6" s="30"/>
      <c r="E6" s="30"/>
    </row>
    <row r="7" customFormat="false" ht="24" hidden="false" customHeight="true" outlineLevel="0" collapsed="false">
      <c r="A7" s="31" t="s">
        <v>154</v>
      </c>
      <c r="B7" s="31"/>
      <c r="C7" s="31"/>
      <c r="D7" s="31"/>
      <c r="E7" s="31"/>
    </row>
    <row r="8" customFormat="false" ht="13.5" hidden="false" customHeight="true" outlineLevel="0" collapsed="false">
      <c r="A8" s="31" t="s">
        <v>155</v>
      </c>
      <c r="B8" s="31"/>
      <c r="C8" s="31"/>
      <c r="D8" s="31"/>
      <c r="E8" s="31"/>
    </row>
    <row r="9" customFormat="false" ht="13.5" hidden="false" customHeight="true" outlineLevel="0" collapsed="false">
      <c r="A9" s="31" t="s">
        <v>156</v>
      </c>
      <c r="B9" s="31"/>
      <c r="C9" s="31"/>
      <c r="D9" s="31"/>
      <c r="E9" s="31"/>
    </row>
    <row r="11" customFormat="false" ht="30" hidden="false" customHeight="true" outlineLevel="0" collapsed="false">
      <c r="A11" s="16"/>
      <c r="B11" s="16" t="s">
        <v>157</v>
      </c>
      <c r="C11" s="16" t="s">
        <v>158</v>
      </c>
      <c r="D11" s="16" t="s">
        <v>159</v>
      </c>
      <c r="E11" s="16" t="s">
        <v>160</v>
      </c>
    </row>
    <row r="12" customFormat="false" ht="15" hidden="false" customHeight="false" outlineLevel="0" collapsed="false">
      <c r="A12" s="22" t="s">
        <v>129</v>
      </c>
      <c r="B12" s="33" t="n">
        <v>2</v>
      </c>
      <c r="C12" s="34" t="n">
        <v>0</v>
      </c>
      <c r="D12" s="33" t="n">
        <v>1</v>
      </c>
      <c r="E12" s="33" t="n">
        <v>2</v>
      </c>
    </row>
    <row r="13" customFormat="false" ht="15" hidden="false" customHeight="false" outlineLevel="0" collapsed="false">
      <c r="A13" s="22" t="s">
        <v>130</v>
      </c>
      <c r="B13" s="33" t="n">
        <v>2</v>
      </c>
      <c r="C13" s="34" t="n">
        <v>0</v>
      </c>
      <c r="D13" s="34" t="n">
        <v>0</v>
      </c>
      <c r="E13" s="33" t="n">
        <v>2</v>
      </c>
    </row>
    <row r="14" customFormat="false" ht="15" hidden="false" customHeight="false" outlineLevel="0" collapsed="false">
      <c r="A14" s="22" t="s">
        <v>131</v>
      </c>
      <c r="B14" s="33" t="n">
        <v>1</v>
      </c>
      <c r="C14" s="34" t="n">
        <v>0</v>
      </c>
      <c r="D14" s="33" t="n">
        <v>1</v>
      </c>
      <c r="E14" s="33" t="n">
        <v>1</v>
      </c>
    </row>
    <row r="15" customFormat="false" ht="15" hidden="false" customHeight="false" outlineLevel="0" collapsed="false">
      <c r="A15" s="22" t="s">
        <v>132</v>
      </c>
      <c r="B15" s="33" t="n">
        <v>2</v>
      </c>
      <c r="C15" s="33" t="n">
        <v>2</v>
      </c>
      <c r="D15" s="33" t="n">
        <v>2</v>
      </c>
      <c r="E15" s="34" t="n">
        <v>0</v>
      </c>
    </row>
    <row r="17" customFormat="false" ht="15" hidden="false" customHeight="false" outlineLevel="0" collapsed="false">
      <c r="A17" s="5" t="s">
        <v>161</v>
      </c>
      <c r="B17" s="22" t="n">
        <f aca="false">SUM(B12:B15)</f>
        <v>7</v>
      </c>
      <c r="C17" s="22" t="n">
        <f aca="false">SUM(C12:C15)</f>
        <v>2</v>
      </c>
      <c r="D17" s="22" t="n">
        <f aca="false">SUM(D12:D15)</f>
        <v>4</v>
      </c>
      <c r="E17" s="22" t="n">
        <f aca="false">SUM(E12:E15)</f>
        <v>5</v>
      </c>
    </row>
    <row r="18" customFormat="false" ht="15" hidden="false" customHeight="false" outlineLevel="0" collapsed="false">
      <c r="A18" s="5" t="s">
        <v>162</v>
      </c>
      <c r="B18" s="22" t="n">
        <f aca="false">COUNT(B12:B15)*2</f>
        <v>8</v>
      </c>
      <c r="C18" s="22" t="n">
        <f aca="false">COUNT(C12:C15)*2</f>
        <v>8</v>
      </c>
      <c r="D18" s="22" t="n">
        <f aca="false">COUNT(D12:D15)*2</f>
        <v>8</v>
      </c>
      <c r="E18" s="22" t="n">
        <f aca="false">COUNT(E12:E15)*2</f>
        <v>8</v>
      </c>
    </row>
    <row r="19" customFormat="false" ht="15" hidden="false" customHeight="false" outlineLevel="0" collapsed="false">
      <c r="A19" s="5" t="s">
        <v>163</v>
      </c>
      <c r="B19" s="22" t="n">
        <f aca="false">COUNTIF(B12:B15,0)</f>
        <v>0</v>
      </c>
      <c r="C19" s="22" t="n">
        <f aca="false">COUNTIF(C12:C15,0)</f>
        <v>3</v>
      </c>
      <c r="D19" s="22" t="n">
        <f aca="false">COUNTIF(D12:D15,0)</f>
        <v>1</v>
      </c>
      <c r="E19" s="22" t="n">
        <f aca="false">COUNTIF(E12:E15,0)</f>
        <v>1</v>
      </c>
    </row>
    <row r="20" customFormat="false" ht="15" hidden="false" customHeight="false" outlineLevel="0" collapsed="false">
      <c r="A20" s="5" t="s">
        <v>164</v>
      </c>
      <c r="B20" s="22" t="str">
        <f aca="false">IF(COUNTIF(B12:B15,0)=0,"NONE",SUBSTITUTE(TRIM(IF(B12=0,"T1 ","")&amp;IF(B13=0,"T2 ","")&amp;IF(B14=0,"T3 ","")&amp;IF(B15=0,"T4 ",""))," ",", "))</f>
        <v>NONE</v>
      </c>
      <c r="C20" s="22" t="str">
        <f aca="false">IF(COUNTIF(C12:C15,0)=0,"NONE",SUBSTITUTE(TRIM(IF(C12=0,"T1 ","")&amp;IF(C13=0,"T2 ","")&amp;IF(C14=0,"T3 ","")&amp;IF(C15=0,"T4 ",""))," ",", "))</f>
        <v>T1, T2, T3</v>
      </c>
      <c r="D20" s="22" t="str">
        <f aca="false">IF(COUNTIF(D12:D15,0)=0,"NONE",SUBSTITUTE(TRIM(IF(D12=0,"T1 ","")&amp;IF(D13=0,"T2 ","")&amp;IF(D14=0,"T3 ","")&amp;IF(D15=0,"T4 ",""))," ",", "))</f>
        <v>T2</v>
      </c>
      <c r="E20" s="22" t="str">
        <f aca="false">IF(COUNTIF(E12:E15,0)=0,"NONE",SUBSTITUTE(TRIM(IF(E12=0,"T1 ","")&amp;IF(E13=0,"T2 ","")&amp;IF(E14=0,"T3 ","")&amp;IF(E15=0,"T4 ",""))," ",", "))</f>
        <v>T4</v>
      </c>
    </row>
    <row r="22" customFormat="false" ht="15" hidden="false" customHeight="false" outlineLevel="0" collapsed="false">
      <c r="A22" s="29" t="s">
        <v>165</v>
      </c>
      <c r="B22" s="35" t="n">
        <v>7</v>
      </c>
      <c r="C22" s="35" t="n">
        <v>2</v>
      </c>
      <c r="D22" s="35" t="n">
        <v>4</v>
      </c>
      <c r="E22" s="35" t="n">
        <v>5</v>
      </c>
    </row>
    <row r="23" customFormat="false" ht="22.35" hidden="false" customHeight="false" outlineLevel="0" collapsed="false">
      <c r="A23" s="29" t="s">
        <v>166</v>
      </c>
      <c r="B23" s="35" t="n">
        <v>0</v>
      </c>
      <c r="C23" s="35" t="n">
        <v>3</v>
      </c>
      <c r="D23" s="35" t="n">
        <v>1</v>
      </c>
      <c r="E23" s="35" t="n">
        <v>1</v>
      </c>
    </row>
    <row r="24" customFormat="false" ht="22.35" hidden="false" customHeight="false" outlineLevel="0" collapsed="false">
      <c r="A24" s="29" t="s">
        <v>167</v>
      </c>
      <c r="B24" s="35" t="s">
        <v>168</v>
      </c>
      <c r="C24" s="35" t="s">
        <v>169</v>
      </c>
      <c r="D24" s="35" t="s">
        <v>170</v>
      </c>
      <c r="E24" s="35" t="s">
        <v>171</v>
      </c>
    </row>
    <row r="25" customFormat="false" ht="22.35" hidden="false" customHeight="false" outlineLevel="0" collapsed="false">
      <c r="A25" s="29" t="s">
        <v>172</v>
      </c>
      <c r="B25" s="36" t="s">
        <v>173</v>
      </c>
      <c r="C25" s="36" t="s">
        <v>174</v>
      </c>
      <c r="D25" s="36" t="s">
        <v>175</v>
      </c>
      <c r="E25" s="36" t="s">
        <v>176</v>
      </c>
    </row>
    <row r="27" customFormat="false" ht="15" hidden="false" customHeight="false" outlineLevel="0" collapsed="false">
      <c r="A27" s="37" t="s">
        <v>177</v>
      </c>
    </row>
    <row r="28" customFormat="false" ht="15" hidden="false" customHeight="false" outlineLevel="0" collapsed="false">
      <c r="A28" s="5" t="s">
        <v>178</v>
      </c>
      <c r="B28" s="38" t="str">
        <f aca="false">IF(B17=B22,"PASS","FAIL")</f>
        <v>PASS</v>
      </c>
      <c r="C28" s="38" t="str">
        <f aca="false">IF(C17=C22,"PASS","FAIL")</f>
        <v>PASS</v>
      </c>
      <c r="D28" s="38" t="str">
        <f aca="false">IF(D17=D22,"PASS","FAIL")</f>
        <v>PASS</v>
      </c>
      <c r="E28" s="38" t="str">
        <f aca="false">IF(E17=E22,"PASS","FAIL")</f>
        <v>PASS</v>
      </c>
    </row>
    <row r="29" customFormat="false" ht="15" hidden="false" customHeight="false" outlineLevel="0" collapsed="false">
      <c r="A29" s="5" t="s">
        <v>179</v>
      </c>
      <c r="B29" s="38" t="str">
        <f aca="false">IF(B19=B23,"PASS","FAIL")</f>
        <v>PASS</v>
      </c>
      <c r="C29" s="38" t="str">
        <f aca="false">IF(C19=C23,"PASS","FAIL")</f>
        <v>PASS</v>
      </c>
      <c r="D29" s="38" t="str">
        <f aca="false">IF(D19=D23,"PASS","FAIL")</f>
        <v>PASS</v>
      </c>
      <c r="E29" s="38" t="str">
        <f aca="false">IF(E19=E23,"PASS","FAIL")</f>
        <v>PASS</v>
      </c>
    </row>
    <row r="30" customFormat="false" ht="15" hidden="false" customHeight="false" outlineLevel="0" collapsed="false">
      <c r="A30" s="5" t="s">
        <v>180</v>
      </c>
      <c r="B30" s="38" t="str">
        <f aca="false">IF(EXACT(B20,B24),"PASS","FAIL")</f>
        <v>PASS</v>
      </c>
      <c r="C30" s="38" t="str">
        <f aca="false">IF(EXACT(C20,C24),"PASS","FAIL")</f>
        <v>PASS</v>
      </c>
      <c r="D30" s="38" t="str">
        <f aca="false">IF(EXACT(D20,D24),"PASS","FAIL")</f>
        <v>PASS</v>
      </c>
      <c r="E30" s="38" t="str">
        <f aca="false">IF(EXACT(E20,E24),"PASS","FAIL")</f>
        <v>PASS</v>
      </c>
    </row>
    <row r="31" customFormat="false" ht="22.35" hidden="false" customHeight="false" outlineLevel="0" collapsed="false">
      <c r="A31" s="5" t="s">
        <v>181</v>
      </c>
      <c r="B31" s="38" t="str">
        <f aca="false">IF(AND(B19&gt;0,B25="READY WITH CONDITIONS"),"FAIL","PASS")</f>
        <v>PASS</v>
      </c>
      <c r="C31" s="38" t="str">
        <f aca="false">IF(AND(C19&gt;0,C25="READY WITH CONDITIONS"),"FAIL","PASS")</f>
        <v>PASS</v>
      </c>
      <c r="D31" s="38" t="str">
        <f aca="false">IF(AND(D19&gt;0,D25="READY WITH CONDITIONS"),"FAIL","PASS")</f>
        <v>PASS</v>
      </c>
      <c r="E31" s="38" t="str">
        <f aca="false">IF(AND(E19&gt;0,E25="READY WITH CONDITIONS"),"FAIL","PASS")</f>
        <v>PASS</v>
      </c>
    </row>
    <row r="32" customFormat="false" ht="22.35" hidden="false" customHeight="false" outlineLevel="0" collapsed="false">
      <c r="A32" s="5" t="s">
        <v>182</v>
      </c>
      <c r="B32" s="38" t="str">
        <f aca="false">IF(AND(B15=0,B25&lt;&gt;"REFER TO PROJECT MANAGER"),"FAIL","PASS")</f>
        <v>PASS</v>
      </c>
      <c r="C32" s="38" t="str">
        <f aca="false">IF(AND(C15=0,C25&lt;&gt;"REFER TO PROJECT MANAGER"),"FAIL","PASS")</f>
        <v>PASS</v>
      </c>
      <c r="D32" s="38" t="str">
        <f aca="false">IF(AND(D15=0,D25&lt;&gt;"REFER TO PROJECT MANAGER"),"FAIL","PASS")</f>
        <v>PASS</v>
      </c>
      <c r="E32" s="38" t="str">
        <f aca="false">IF(AND(E15=0,E25&lt;&gt;"REFER TO PROJECT MANAGER"),"FAIL","PASS")</f>
        <v>PASS</v>
      </c>
    </row>
    <row r="33" customFormat="false" ht="15" hidden="false" customHeight="false" outlineLevel="0" collapsed="false">
      <c r="A33" s="39" t="s">
        <v>183</v>
      </c>
      <c r="B33" s="40" t="str">
        <f aca="false">IF(COUNTIF(B28:E32,"FAIL")=0,"PASS - the four transcribed results reconcile with the issued records","FAIL - " &amp; COUNTIF(B28:E32,"FAIL") &amp; " check(s) did not reconcile")</f>
        <v>PASS - the four transcribed results reconcile with the issued records</v>
      </c>
      <c r="C33" s="40"/>
      <c r="D33" s="40"/>
      <c r="E33" s="40"/>
    </row>
    <row r="35" customFormat="false" ht="15" hidden="false" customHeight="true" outlineLevel="0" collapsed="false">
      <c r="A35" s="30" t="s">
        <v>184</v>
      </c>
      <c r="B35" s="30"/>
      <c r="C35" s="30"/>
      <c r="D35" s="30"/>
      <c r="E35" s="30"/>
    </row>
    <row r="36" customFormat="false" ht="24" hidden="false" customHeight="true" outlineLevel="0" collapsed="false">
      <c r="A36" s="31" t="s">
        <v>185</v>
      </c>
      <c r="B36" s="31"/>
      <c r="C36" s="31"/>
      <c r="D36" s="31"/>
      <c r="E36" s="31"/>
    </row>
    <row r="37" customFormat="false" ht="24" hidden="false" customHeight="true" outlineLevel="0" collapsed="false">
      <c r="A37" s="31" t="s">
        <v>186</v>
      </c>
      <c r="B37" s="31"/>
      <c r="C37" s="31"/>
      <c r="D37" s="31"/>
      <c r="E37" s="31"/>
    </row>
    <row r="38" customFormat="false" ht="24" hidden="false" customHeight="true" outlineLevel="0" collapsed="false">
      <c r="A38" s="31" t="s">
        <v>187</v>
      </c>
      <c r="B38" s="31"/>
      <c r="C38" s="31"/>
      <c r="D38" s="31"/>
      <c r="E38" s="31"/>
    </row>
    <row r="40" customFormat="false" ht="25.5" hidden="false" customHeight="true" outlineLevel="0" collapsed="false">
      <c r="A40" s="32" t="s">
        <v>150</v>
      </c>
      <c r="B40" s="32"/>
      <c r="C40" s="32"/>
      <c r="D40" s="32"/>
      <c r="E40" s="32"/>
    </row>
  </sheetData>
  <mergeCells count="13">
    <mergeCell ref="A1:E1"/>
    <mergeCell ref="A2:E2"/>
    <mergeCell ref="A3:E3"/>
    <mergeCell ref="A6:E6"/>
    <mergeCell ref="A7:E7"/>
    <mergeCell ref="A8:E8"/>
    <mergeCell ref="A9:E9"/>
    <mergeCell ref="B33:E33"/>
    <mergeCell ref="A35:E35"/>
    <mergeCell ref="A36:E36"/>
    <mergeCell ref="A37:E37"/>
    <mergeCell ref="A38:E38"/>
    <mergeCell ref="A40:E40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&amp;L&amp;7 Fictional Demonstration Data — not a contractual communication&amp;R&amp;7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2026-08-24T03:29:05Z</dcterms:created>
  <dc:creator>openpyxl</dc:creator>
  <dc:description/>
  <dc:language>en-US</dc:language>
  <cp:lastModifiedBy/>
  <dcterms:modified xsi:type="dcterms:W3CDTF">2026-08-24T03:29:05Z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